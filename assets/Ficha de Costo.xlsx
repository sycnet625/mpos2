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YoeX\Downloads\Telegram Desktop\"/>
    </mc:Choice>
  </mc:AlternateContent>
  <xr:revisionPtr revIDLastSave="0" documentId="13_ncr:1_{9C36A65D-5BBC-4E99-8F17-C9BC0D73EBED}" xr6:coauthVersionLast="47" xr6:coauthVersionMax="47" xr10:uidLastSave="{00000000-0000-0000-0000-000000000000}"/>
  <bookViews>
    <workbookView xWindow="-120" yWindow="-120" windowWidth="20730" windowHeight="11310" tabRatio="500" firstSheet="1" activeTab="1" xr2:uid="{00000000-000D-0000-FFFF-FFFF00000000}"/>
  </bookViews>
  <sheets>
    <sheet name="Ficha de costo pan suave 40g" sheetId="3" r:id="rId1"/>
    <sheet name="Ficha de costo 21cm gouda" sheetId="2" r:id="rId2"/>
    <sheet name="Ficha de costo 21cm" sheetId="1" r:id="rId3"/>
  </sheets>
  <definedNames>
    <definedName name="OLE_LINK1" localSheetId="2">'Ficha de costo 21cm'!$B$1</definedName>
    <definedName name="OLE_LINK1" localSheetId="1">'Ficha de costo 21cm gouda'!$B$1</definedName>
    <definedName name="OLE_LINK1" localSheetId="0">'Ficha de costo pan suave 40g'!$B$1</definedName>
    <definedName name="_xlnm.Print_Area" localSheetId="2">'Ficha de costo 21cm'!$B$1:$F$59,'Ficha de costo 21cm'!$L$2:$T$2,'Ficha de costo 21cm'!$L$4:$T$30,'Ficha de costo 21cm'!$M$34,'Ficha de costo 21cm'!$L$36:$T$40,'Ficha de costo 21cm'!$L$45:$T$45,'Ficha de costo 21cm'!$L$47:$T$77,'Ficha de costo 21cm'!$L$81:$T$81,'Ficha de costo 21cm'!$L$83:$T$99,'Ficha de costo 21cm'!$W$2:$AD$2,'Ficha de costo 21cm'!$W$4:$AD$37,'Ficha de costo 21cm'!$W$41:$AI$41,'Ficha de costo 21cm'!$W$43:$AI$80,'Ficha de costo 21cm'!$AB$87:$AC$88,'Ficha de costo 21cm'!$AE$87:$AG$88,'Ficha de costo 21cm'!$AL$2:$AS$2,'Ficha de costo 21cm'!$AL$4:$AS$37,'Ficha de costo 21cm'!$AL$41:$AX$41,'Ficha de costo 21cm'!$AL$43:$AX$80,'Ficha de costo 21cm'!$BA$2:$BG$2,'Ficha de costo 21cm'!$BA$4:$BG$36,'Ficha de costo 21cm'!$BA$41:$BG$41,'Ficha de costo 21cm'!$BA$43:$BG$82,'Ficha de costo 21cm'!$BJ$2:$BR$2,'Ficha de costo 21cm'!$BJ$4:$BR$32,'Ficha de costo 21cm'!$BU$3:$CC$4,'Ficha de costo 21cm'!$BU$6:$CC$15,'Ficha de costo 21cm'!$BU$19:$CB$19,'Ficha de costo 21cm'!$BU$21:$CB$42,'Ficha de costo 21cm'!$BU$48:$CC$48,'Ficha de costo 21cm'!$BU$50:$CC$62,'Ficha de costo 21cm'!$BU$67:$CG$67,'Ficha de costo 21cm'!$BU$69:$CG$92,'Ficha de costo 21cm'!$CJ$2:$CR$3,'Ficha de costo 21cm'!$CJ$5:$CR$14,'Ficha de costo 21cm'!$CJ$18:$CQ$18,'Ficha de costo 21cm'!$CJ$20:$CQ$41,'Ficha de costo 21cm'!$CJ$47:$CR$47,'Ficha de costo 21cm'!$CJ$49:$CR$61,'Ficha de costo 21cm'!$CJ$68:$CV$68,'Ficha de costo 21cm'!$CJ$70:$CV$93,'Ficha de costo 21cm'!$CT$1,'Ficha de costo 21cm'!$CT$4:$CU$15,'Ficha de costo 21cm'!$CW$4:$CX$15,'Ficha de costo 21cm'!$CZ$4:$DA$15</definedName>
    <definedName name="_xlnm.Print_Area" localSheetId="1">'Ficha de costo 21cm gouda'!$B$1:$F$59,'Ficha de costo 21cm gouda'!$L$2:$T$2,'Ficha de costo 21cm gouda'!$L$4:$T$30,'Ficha de costo 21cm gouda'!$M$34,'Ficha de costo 21cm gouda'!$L$36:$T$40,'Ficha de costo 21cm gouda'!$L$45:$T$45,'Ficha de costo 21cm gouda'!$L$47:$T$77,'Ficha de costo 21cm gouda'!$L$81:$T$81,'Ficha de costo 21cm gouda'!$L$83:$T$99,'Ficha de costo 21cm gouda'!$W$2:$AD$2,'Ficha de costo 21cm gouda'!$W$4:$AD$37,'Ficha de costo 21cm gouda'!$W$41:$AI$41,'Ficha de costo 21cm gouda'!$W$43:$AI$80,'Ficha de costo 21cm gouda'!$AB$87:$AC$88,'Ficha de costo 21cm gouda'!$AE$87:$AG$88,'Ficha de costo 21cm gouda'!$AL$2:$AS$2,'Ficha de costo 21cm gouda'!$AL$4:$AS$37,'Ficha de costo 21cm gouda'!$AL$41:$AX$41,'Ficha de costo 21cm gouda'!$AL$43:$AX$80,'Ficha de costo 21cm gouda'!$BA$2:$BG$2,'Ficha de costo 21cm gouda'!$BA$4:$BG$36,'Ficha de costo 21cm gouda'!$BA$41:$BG$41,'Ficha de costo 21cm gouda'!$BA$43:$BG$82,'Ficha de costo 21cm gouda'!$BJ$2:$BR$2,'Ficha de costo 21cm gouda'!$BJ$4:$BR$32,'Ficha de costo 21cm gouda'!$BU$3:$CC$4,'Ficha de costo 21cm gouda'!$BU$6:$CC$15,'Ficha de costo 21cm gouda'!$BU$19:$CB$19,'Ficha de costo 21cm gouda'!$BU$21:$CB$42,'Ficha de costo 21cm gouda'!$BU$48:$CC$48,'Ficha de costo 21cm gouda'!$BU$50:$CC$62,'Ficha de costo 21cm gouda'!$BU$67:$CG$67,'Ficha de costo 21cm gouda'!$BU$69:$CG$92,'Ficha de costo 21cm gouda'!$CJ$2:$CR$3,'Ficha de costo 21cm gouda'!$CJ$5:$CR$14,'Ficha de costo 21cm gouda'!$CJ$18:$CQ$18,'Ficha de costo 21cm gouda'!$CJ$20:$CQ$41,'Ficha de costo 21cm gouda'!$CJ$47:$CR$47,'Ficha de costo 21cm gouda'!$CJ$49:$CR$61,'Ficha de costo 21cm gouda'!$CJ$68:$CV$68,'Ficha de costo 21cm gouda'!$CJ$70:$CV$93,'Ficha de costo 21cm gouda'!$CT$1,'Ficha de costo 21cm gouda'!$CT$4:$CU$15,'Ficha de costo 21cm gouda'!$CW$4:$CX$15,'Ficha de costo 21cm gouda'!$CZ$4:$DA$15</definedName>
    <definedName name="_xlnm.Print_Area" localSheetId="0">'Ficha de costo pan suave 40g'!$B$1:$F$59,'Ficha de costo pan suave 40g'!$L$2:$T$2,'Ficha de costo pan suave 40g'!$L$4:$T$30,'Ficha de costo pan suave 40g'!$M$34,'Ficha de costo pan suave 40g'!$L$36:$T$40,'Ficha de costo pan suave 40g'!$L$45:$T$45,'Ficha de costo pan suave 40g'!$L$47:$T$77,'Ficha de costo pan suave 40g'!$L$81:$T$81,'Ficha de costo pan suave 40g'!$L$83:$T$99,'Ficha de costo pan suave 40g'!$W$2:$AD$2,'Ficha de costo pan suave 40g'!$W$4:$AD$37,'Ficha de costo pan suave 40g'!$W$41:$AI$41,'Ficha de costo pan suave 40g'!$W$43:$AI$80,'Ficha de costo pan suave 40g'!$AB$87:$AC$88,'Ficha de costo pan suave 40g'!$AE$87:$AG$88,'Ficha de costo pan suave 40g'!$AL$2:$AS$2,'Ficha de costo pan suave 40g'!$AL$4:$AS$37,'Ficha de costo pan suave 40g'!$AL$41:$AX$41,'Ficha de costo pan suave 40g'!$AL$43:$AX$80,'Ficha de costo pan suave 40g'!$BA$2:$BG$2,'Ficha de costo pan suave 40g'!$BA$4:$BG$36,'Ficha de costo pan suave 40g'!$BA$41:$BG$41,'Ficha de costo pan suave 40g'!$BA$43:$BG$82,'Ficha de costo pan suave 40g'!$BJ$2:$BR$2,'Ficha de costo pan suave 40g'!$BJ$4:$BR$32,'Ficha de costo pan suave 40g'!$BU$3:$CC$4,'Ficha de costo pan suave 40g'!$BU$6:$CC$15,'Ficha de costo pan suave 40g'!$BU$19:$CB$19,'Ficha de costo pan suave 40g'!$BU$21:$CB$42,'Ficha de costo pan suave 40g'!$BU$48:$CC$48,'Ficha de costo pan suave 40g'!$BU$50:$CC$62,'Ficha de costo pan suave 40g'!$BU$67:$CG$67,'Ficha de costo pan suave 40g'!$BU$69:$CG$92,'Ficha de costo pan suave 40g'!$CJ$2:$CR$3,'Ficha de costo pan suave 40g'!$CJ$5:$CR$14,'Ficha de costo pan suave 40g'!$CJ$18:$CQ$18,'Ficha de costo pan suave 40g'!$CJ$20:$CQ$41,'Ficha de costo pan suave 40g'!$CJ$47:$CR$47,'Ficha de costo pan suave 40g'!$CJ$49:$CR$61,'Ficha de costo pan suave 40g'!$CJ$68:$CV$68,'Ficha de costo pan suave 40g'!$CJ$70:$CV$93,'Ficha de costo pan suave 40g'!$CT$1,'Ficha de costo pan suave 40g'!$CT$4:$CU$15,'Ficha de costo pan suave 40g'!$CW$4:$CX$15,'Ficha de costo pan suave 40g'!$CZ$4:$DA$15</definedName>
  </definedNames>
  <calcPr calcId="181029"/>
</workbook>
</file>

<file path=xl/calcChain.xml><?xml version="1.0" encoding="utf-8"?>
<calcChain xmlns="http://schemas.openxmlformats.org/spreadsheetml/2006/main">
  <c r="R85" i="3" l="1"/>
  <c r="S98" i="3"/>
  <c r="R98" i="3"/>
  <c r="T98" i="3" s="1"/>
  <c r="S97" i="3"/>
  <c r="R97" i="3"/>
  <c r="T97" i="3" s="1"/>
  <c r="T96" i="3"/>
  <c r="S96" i="3"/>
  <c r="R96" i="3"/>
  <c r="T95" i="3"/>
  <c r="S95" i="3"/>
  <c r="R95" i="3"/>
  <c r="S94" i="3"/>
  <c r="R94" i="3"/>
  <c r="T94" i="3" s="1"/>
  <c r="S93" i="3"/>
  <c r="R93" i="3"/>
  <c r="T93" i="3" s="1"/>
  <c r="CS92" i="3"/>
  <c r="CU92" i="3" s="1"/>
  <c r="CQ92" i="3"/>
  <c r="CT92" i="3" s="1"/>
  <c r="CV92" i="3" s="1"/>
  <c r="CP92" i="3"/>
  <c r="S92" i="3"/>
  <c r="R92" i="3"/>
  <c r="T92" i="3" s="1"/>
  <c r="CT91" i="3"/>
  <c r="CV91" i="3" s="1"/>
  <c r="CS91" i="3"/>
  <c r="CU91" i="3" s="1"/>
  <c r="CQ91" i="3"/>
  <c r="CP91" i="3"/>
  <c r="CB91" i="3"/>
  <c r="CE91" i="3" s="1"/>
  <c r="CG91" i="3" s="1"/>
  <c r="CA91" i="3"/>
  <c r="CD91" i="3" s="1"/>
  <c r="CF91" i="3" s="1"/>
  <c r="S91" i="3"/>
  <c r="R91" i="3"/>
  <c r="T91" i="3" s="1"/>
  <c r="CS90" i="3"/>
  <c r="CU90" i="3" s="1"/>
  <c r="CQ90" i="3"/>
  <c r="CT90" i="3" s="1"/>
  <c r="CV90" i="3" s="1"/>
  <c r="CP90" i="3"/>
  <c r="CE90" i="3"/>
  <c r="CG90" i="3" s="1"/>
  <c r="CB90" i="3"/>
  <c r="CA90" i="3"/>
  <c r="CD90" i="3" s="1"/>
  <c r="CF90" i="3" s="1"/>
  <c r="T90" i="3"/>
  <c r="S90" i="3"/>
  <c r="R90" i="3"/>
  <c r="CQ89" i="3"/>
  <c r="CT89" i="3" s="1"/>
  <c r="CV89" i="3" s="1"/>
  <c r="CP89" i="3"/>
  <c r="CS89" i="3" s="1"/>
  <c r="CU89" i="3" s="1"/>
  <c r="CE89" i="3"/>
  <c r="CG89" i="3" s="1"/>
  <c r="CD89" i="3"/>
  <c r="CF89" i="3" s="1"/>
  <c r="CB89" i="3"/>
  <c r="CA89" i="3"/>
  <c r="T89" i="3"/>
  <c r="S89" i="3"/>
  <c r="R89" i="3"/>
  <c r="CT88" i="3"/>
  <c r="CV88" i="3" s="1"/>
  <c r="CQ88" i="3"/>
  <c r="CP88" i="3"/>
  <c r="CS88" i="3" s="1"/>
  <c r="CU88" i="3" s="1"/>
  <c r="CD88" i="3"/>
  <c r="CF88" i="3" s="1"/>
  <c r="CB88" i="3"/>
  <c r="CE88" i="3" s="1"/>
  <c r="CG88" i="3" s="1"/>
  <c r="CA88" i="3"/>
  <c r="CT87" i="3"/>
  <c r="CV87" i="3" s="1"/>
  <c r="CQ87" i="3"/>
  <c r="CP87" i="3"/>
  <c r="CS87" i="3" s="1"/>
  <c r="CU87" i="3" s="1"/>
  <c r="CD87" i="3"/>
  <c r="CF87" i="3" s="1"/>
  <c r="CB87" i="3"/>
  <c r="CE87" i="3" s="1"/>
  <c r="CG87" i="3" s="1"/>
  <c r="CA87" i="3"/>
  <c r="S87" i="3"/>
  <c r="R87" i="3"/>
  <c r="T87" i="3" s="1"/>
  <c r="CT86" i="3"/>
  <c r="CV86" i="3" s="1"/>
  <c r="CS86" i="3"/>
  <c r="CU86" i="3" s="1"/>
  <c r="CQ86" i="3"/>
  <c r="CP86" i="3"/>
  <c r="CB86" i="3"/>
  <c r="CE86" i="3" s="1"/>
  <c r="CG86" i="3" s="1"/>
  <c r="CA86" i="3"/>
  <c r="CD86" i="3" s="1"/>
  <c r="CF86" i="3" s="1"/>
  <c r="S86" i="3"/>
  <c r="R86" i="3"/>
  <c r="R99" i="3" s="1"/>
  <c r="E15" i="3" s="1"/>
  <c r="D15" i="3" s="1"/>
  <c r="CS85" i="3"/>
  <c r="CU85" i="3" s="1"/>
  <c r="CQ85" i="3"/>
  <c r="CT85" i="3" s="1"/>
  <c r="CV85" i="3" s="1"/>
  <c r="CP85" i="3"/>
  <c r="CE85" i="3"/>
  <c r="CG85" i="3" s="1"/>
  <c r="CB85" i="3"/>
  <c r="CA85" i="3"/>
  <c r="CD85" i="3" s="1"/>
  <c r="CF85" i="3" s="1"/>
  <c r="S85" i="3"/>
  <c r="S99" i="3" s="1"/>
  <c r="CU84" i="3"/>
  <c r="CT84" i="3"/>
  <c r="CV84" i="3" s="1"/>
  <c r="CQ84" i="3"/>
  <c r="CP84" i="3"/>
  <c r="CS84" i="3" s="1"/>
  <c r="CD84" i="3"/>
  <c r="CF84" i="3" s="1"/>
  <c r="CB84" i="3"/>
  <c r="CE84" i="3" s="1"/>
  <c r="CG84" i="3" s="1"/>
  <c r="CA84" i="3"/>
  <c r="CT83" i="3"/>
  <c r="CV83" i="3" s="1"/>
  <c r="CQ83" i="3"/>
  <c r="CP83" i="3"/>
  <c r="CS83" i="3" s="1"/>
  <c r="CU83" i="3" s="1"/>
  <c r="CD83" i="3"/>
  <c r="CF83" i="3" s="1"/>
  <c r="CB83" i="3"/>
  <c r="CE83" i="3" s="1"/>
  <c r="CG83" i="3" s="1"/>
  <c r="CA83" i="3"/>
  <c r="CU82" i="3"/>
  <c r="CT82" i="3"/>
  <c r="CV82" i="3" s="1"/>
  <c r="CQ82" i="3"/>
  <c r="CP82" i="3"/>
  <c r="CS82" i="3" s="1"/>
  <c r="CD82" i="3"/>
  <c r="CF82" i="3" s="1"/>
  <c r="CB82" i="3"/>
  <c r="CE82" i="3" s="1"/>
  <c r="CG82" i="3" s="1"/>
  <c r="CA82" i="3"/>
  <c r="CQ81" i="3"/>
  <c r="CT81" i="3" s="1"/>
  <c r="CV81" i="3" s="1"/>
  <c r="CP81" i="3"/>
  <c r="CS81" i="3" s="1"/>
  <c r="CU81" i="3" s="1"/>
  <c r="CE81" i="3"/>
  <c r="CG81" i="3" s="1"/>
  <c r="CD81" i="3"/>
  <c r="CF81" i="3" s="1"/>
  <c r="CB81" i="3"/>
  <c r="CA81" i="3"/>
  <c r="BG81" i="3"/>
  <c r="BE81" i="3"/>
  <c r="CT80" i="3"/>
  <c r="CV80" i="3" s="1"/>
  <c r="CS80" i="3"/>
  <c r="CU80" i="3" s="1"/>
  <c r="CQ80" i="3"/>
  <c r="CP80" i="3"/>
  <c r="CG80" i="3"/>
  <c r="CB80" i="3"/>
  <c r="CE80" i="3" s="1"/>
  <c r="CA80" i="3"/>
  <c r="CD80" i="3" s="1"/>
  <c r="CF80" i="3" s="1"/>
  <c r="BE80" i="3"/>
  <c r="BG80" i="3" s="1"/>
  <c r="AD80" i="3"/>
  <c r="CS79" i="3"/>
  <c r="CU79" i="3" s="1"/>
  <c r="CQ79" i="3"/>
  <c r="CT79" i="3" s="1"/>
  <c r="CV79" i="3" s="1"/>
  <c r="CP79" i="3"/>
  <c r="CF79" i="3"/>
  <c r="CE79" i="3"/>
  <c r="CG79" i="3" s="1"/>
  <c r="CB79" i="3"/>
  <c r="CA79" i="3"/>
  <c r="CD79" i="3" s="1"/>
  <c r="BE79" i="3"/>
  <c r="BG79" i="3" s="1"/>
  <c r="AV79" i="3"/>
  <c r="AX79" i="3" s="1"/>
  <c r="AS79" i="3"/>
  <c r="AR79" i="3"/>
  <c r="AU79" i="3" s="1"/>
  <c r="AW79" i="3" s="1"/>
  <c r="AD79" i="3"/>
  <c r="AG79" i="3" s="1"/>
  <c r="AI79" i="3" s="1"/>
  <c r="AC79" i="3"/>
  <c r="AF79" i="3" s="1"/>
  <c r="AH79" i="3" s="1"/>
  <c r="CT78" i="3"/>
  <c r="CV78" i="3" s="1"/>
  <c r="CS78" i="3"/>
  <c r="CU78" i="3" s="1"/>
  <c r="CQ78" i="3"/>
  <c r="CP78" i="3"/>
  <c r="CD78" i="3"/>
  <c r="CF78" i="3" s="1"/>
  <c r="CB78" i="3"/>
  <c r="CE78" i="3" s="1"/>
  <c r="CG78" i="3" s="1"/>
  <c r="CA78" i="3"/>
  <c r="BE78" i="3"/>
  <c r="BG78" i="3" s="1"/>
  <c r="AW78" i="3"/>
  <c r="AU78" i="3"/>
  <c r="AS78" i="3"/>
  <c r="AV78" i="3" s="1"/>
  <c r="AX78" i="3" s="1"/>
  <c r="AR78" i="3"/>
  <c r="AG78" i="3"/>
  <c r="AI78" i="3" s="1"/>
  <c r="AD78" i="3"/>
  <c r="AC78" i="3"/>
  <c r="AF78" i="3" s="1"/>
  <c r="AH78" i="3" s="1"/>
  <c r="CQ77" i="3"/>
  <c r="CT77" i="3" s="1"/>
  <c r="CV77" i="3" s="1"/>
  <c r="CP77" i="3"/>
  <c r="CS77" i="3" s="1"/>
  <c r="CU77" i="3" s="1"/>
  <c r="CE77" i="3"/>
  <c r="CG77" i="3" s="1"/>
  <c r="CB77" i="3"/>
  <c r="CA77" i="3"/>
  <c r="CD77" i="3" s="1"/>
  <c r="CF77" i="3" s="1"/>
  <c r="BE77" i="3"/>
  <c r="BG77" i="3" s="1"/>
  <c r="AV77" i="3"/>
  <c r="AX77" i="3" s="1"/>
  <c r="AU77" i="3"/>
  <c r="AW77" i="3" s="1"/>
  <c r="AS77" i="3"/>
  <c r="AR77" i="3"/>
  <c r="AH77" i="3"/>
  <c r="AF77" i="3"/>
  <c r="AD77" i="3"/>
  <c r="AG77" i="3" s="1"/>
  <c r="AI77" i="3" s="1"/>
  <c r="AC77" i="3"/>
  <c r="CS76" i="3"/>
  <c r="CU76" i="3" s="1"/>
  <c r="CQ76" i="3"/>
  <c r="CT76" i="3" s="1"/>
  <c r="CV76" i="3" s="1"/>
  <c r="CP76" i="3"/>
  <c r="CB76" i="3"/>
  <c r="CE76" i="3" s="1"/>
  <c r="CG76" i="3" s="1"/>
  <c r="CA76" i="3"/>
  <c r="CD76" i="3" s="1"/>
  <c r="CF76" i="3" s="1"/>
  <c r="BG76" i="3"/>
  <c r="BE76" i="3"/>
  <c r="AX76" i="3"/>
  <c r="AS76" i="3"/>
  <c r="AV76" i="3" s="1"/>
  <c r="AR76" i="3"/>
  <c r="AU76" i="3" s="1"/>
  <c r="AW76" i="3" s="1"/>
  <c r="AI76" i="3"/>
  <c r="AG76" i="3"/>
  <c r="AF76" i="3"/>
  <c r="AH76" i="3" s="1"/>
  <c r="AD76" i="3"/>
  <c r="AC76" i="3"/>
  <c r="T76" i="3"/>
  <c r="S76" i="3"/>
  <c r="R76" i="3"/>
  <c r="CT75" i="3"/>
  <c r="CV75" i="3" s="1"/>
  <c r="CQ75" i="3"/>
  <c r="CP75" i="3"/>
  <c r="CS75" i="3" s="1"/>
  <c r="CU75" i="3" s="1"/>
  <c r="CB75" i="3"/>
  <c r="CE75" i="3" s="1"/>
  <c r="CG75" i="3" s="1"/>
  <c r="CA75" i="3"/>
  <c r="CD75" i="3" s="1"/>
  <c r="CF75" i="3" s="1"/>
  <c r="BE75" i="3"/>
  <c r="BG75" i="3" s="1"/>
  <c r="AS75" i="3"/>
  <c r="AV75" i="3" s="1"/>
  <c r="AX75" i="3" s="1"/>
  <c r="AR75" i="3"/>
  <c r="AU75" i="3" s="1"/>
  <c r="AW75" i="3" s="1"/>
  <c r="AG75" i="3"/>
  <c r="AI75" i="3" s="1"/>
  <c r="AF75" i="3"/>
  <c r="AH75" i="3" s="1"/>
  <c r="AD75" i="3"/>
  <c r="AC75" i="3"/>
  <c r="S75" i="3"/>
  <c r="T75" i="3" s="1"/>
  <c r="R75" i="3"/>
  <c r="CT74" i="3"/>
  <c r="CV74" i="3" s="1"/>
  <c r="CQ74" i="3"/>
  <c r="CP74" i="3"/>
  <c r="CS74" i="3" s="1"/>
  <c r="CU74" i="3" s="1"/>
  <c r="CD74" i="3"/>
  <c r="CF74" i="3" s="1"/>
  <c r="CB74" i="3"/>
  <c r="CE74" i="3" s="1"/>
  <c r="CG74" i="3" s="1"/>
  <c r="CA74" i="3"/>
  <c r="BG74" i="3"/>
  <c r="BE74" i="3"/>
  <c r="AX74" i="3"/>
  <c r="AV74" i="3"/>
  <c r="AU74" i="3"/>
  <c r="AW74" i="3" s="1"/>
  <c r="AS74" i="3"/>
  <c r="AR74" i="3"/>
  <c r="AG74" i="3"/>
  <c r="AI74" i="3" s="1"/>
  <c r="AD74" i="3"/>
  <c r="AC74" i="3"/>
  <c r="AF74" i="3" s="1"/>
  <c r="AH74" i="3" s="1"/>
  <c r="T74" i="3"/>
  <c r="S74" i="3"/>
  <c r="R74" i="3"/>
  <c r="CU73" i="3"/>
  <c r="CS73" i="3"/>
  <c r="CQ73" i="3"/>
  <c r="CT73" i="3" s="1"/>
  <c r="CV73" i="3" s="1"/>
  <c r="CP73" i="3"/>
  <c r="CE73" i="3"/>
  <c r="CG73" i="3" s="1"/>
  <c r="CB73" i="3"/>
  <c r="CA73" i="3"/>
  <c r="CD73" i="3" s="1"/>
  <c r="CF73" i="3" s="1"/>
  <c r="BE73" i="3"/>
  <c r="BG73" i="3" s="1"/>
  <c r="AV73" i="3"/>
  <c r="AX73" i="3" s="1"/>
  <c r="AU73" i="3"/>
  <c r="AW73" i="3" s="1"/>
  <c r="AS73" i="3"/>
  <c r="AR73" i="3"/>
  <c r="AF73" i="3"/>
  <c r="AH73" i="3" s="1"/>
  <c r="AD73" i="3"/>
  <c r="AG73" i="3" s="1"/>
  <c r="AI73" i="3" s="1"/>
  <c r="AC73" i="3"/>
  <c r="S73" i="3"/>
  <c r="R73" i="3"/>
  <c r="T73" i="3" s="1"/>
  <c r="CS72" i="3"/>
  <c r="CQ72" i="3"/>
  <c r="CT72" i="3" s="1"/>
  <c r="CP72" i="3"/>
  <c r="CE72" i="3"/>
  <c r="CG72" i="3" s="1"/>
  <c r="CB72" i="3"/>
  <c r="CA72" i="3"/>
  <c r="CD72" i="3" s="1"/>
  <c r="CF72" i="3" s="1"/>
  <c r="BG72" i="3"/>
  <c r="BE72" i="3"/>
  <c r="AW72" i="3"/>
  <c r="AS72" i="3"/>
  <c r="AV72" i="3" s="1"/>
  <c r="AX72" i="3" s="1"/>
  <c r="AR72" i="3"/>
  <c r="AU72" i="3" s="1"/>
  <c r="AF72" i="3"/>
  <c r="AH72" i="3" s="1"/>
  <c r="AD72" i="3"/>
  <c r="AG72" i="3" s="1"/>
  <c r="AI72" i="3" s="1"/>
  <c r="AC72" i="3"/>
  <c r="S72" i="3"/>
  <c r="R72" i="3"/>
  <c r="CE71" i="3"/>
  <c r="CD71" i="3"/>
  <c r="CB71" i="3"/>
  <c r="CA71" i="3"/>
  <c r="BE71" i="3"/>
  <c r="BG71" i="3" s="1"/>
  <c r="AV71" i="3"/>
  <c r="AX71" i="3" s="1"/>
  <c r="AS71" i="3"/>
  <c r="AR71" i="3"/>
  <c r="AU71" i="3" s="1"/>
  <c r="AW71" i="3" s="1"/>
  <c r="AI71" i="3"/>
  <c r="AF71" i="3"/>
  <c r="AH71" i="3" s="1"/>
  <c r="AD71" i="3"/>
  <c r="AG71" i="3" s="1"/>
  <c r="AC71" i="3"/>
  <c r="S71" i="3"/>
  <c r="R71" i="3"/>
  <c r="T71" i="3" s="1"/>
  <c r="BG70" i="3"/>
  <c r="BE70" i="3"/>
  <c r="AW70" i="3"/>
  <c r="AS70" i="3"/>
  <c r="AV70" i="3" s="1"/>
  <c r="AX70" i="3" s="1"/>
  <c r="AR70" i="3"/>
  <c r="AU70" i="3" s="1"/>
  <c r="AI70" i="3"/>
  <c r="AG70" i="3"/>
  <c r="AF70" i="3"/>
  <c r="AH70" i="3" s="1"/>
  <c r="AD70" i="3"/>
  <c r="AC70" i="3"/>
  <c r="S70" i="3"/>
  <c r="T70" i="3" s="1"/>
  <c r="R70" i="3"/>
  <c r="BE69" i="3"/>
  <c r="BG69" i="3" s="1"/>
  <c r="AS69" i="3"/>
  <c r="AV69" i="3" s="1"/>
  <c r="AX69" i="3" s="1"/>
  <c r="AR69" i="3"/>
  <c r="AU69" i="3" s="1"/>
  <c r="AW69" i="3" s="1"/>
  <c r="AG69" i="3"/>
  <c r="AI69" i="3" s="1"/>
  <c r="AF69" i="3"/>
  <c r="AH69" i="3" s="1"/>
  <c r="AD69" i="3"/>
  <c r="AC69" i="3"/>
  <c r="S69" i="3"/>
  <c r="T69" i="3" s="1"/>
  <c r="R69" i="3"/>
  <c r="BG68" i="3"/>
  <c r="BE68" i="3"/>
  <c r="AX68" i="3"/>
  <c r="AV68" i="3"/>
  <c r="AU68" i="3"/>
  <c r="AW68" i="3" s="1"/>
  <c r="AS68" i="3"/>
  <c r="AR68" i="3"/>
  <c r="AH68" i="3"/>
  <c r="AD68" i="3"/>
  <c r="AG68" i="3" s="1"/>
  <c r="AI68" i="3" s="1"/>
  <c r="AC68" i="3"/>
  <c r="AF68" i="3" s="1"/>
  <c r="S68" i="3"/>
  <c r="R68" i="3"/>
  <c r="T68" i="3" s="1"/>
  <c r="BE67" i="3"/>
  <c r="BG67" i="3" s="1"/>
  <c r="AV67" i="3"/>
  <c r="AX67" i="3" s="1"/>
  <c r="AU67" i="3"/>
  <c r="AW67" i="3" s="1"/>
  <c r="AS67" i="3"/>
  <c r="AR67" i="3"/>
  <c r="AI67" i="3"/>
  <c r="AD67" i="3"/>
  <c r="AG67" i="3" s="1"/>
  <c r="AC67" i="3"/>
  <c r="AF67" i="3" s="1"/>
  <c r="AH67" i="3" s="1"/>
  <c r="S67" i="3"/>
  <c r="R67" i="3"/>
  <c r="T67" i="3" s="1"/>
  <c r="BG66" i="3"/>
  <c r="BE66" i="3"/>
  <c r="AW66" i="3"/>
  <c r="AS66" i="3"/>
  <c r="AV66" i="3" s="1"/>
  <c r="AX66" i="3" s="1"/>
  <c r="AR66" i="3"/>
  <c r="AU66" i="3" s="1"/>
  <c r="AG66" i="3"/>
  <c r="AI66" i="3" s="1"/>
  <c r="AF66" i="3"/>
  <c r="AH66" i="3" s="1"/>
  <c r="AD66" i="3"/>
  <c r="AC66" i="3"/>
  <c r="T66" i="3"/>
  <c r="S66" i="3"/>
  <c r="R66" i="3"/>
  <c r="BE65" i="3"/>
  <c r="BG65" i="3" s="1"/>
  <c r="AU65" i="3"/>
  <c r="AW65" i="3" s="1"/>
  <c r="AS65" i="3"/>
  <c r="AV65" i="3" s="1"/>
  <c r="AX65" i="3" s="1"/>
  <c r="AR65" i="3"/>
  <c r="AH65" i="3"/>
  <c r="AG65" i="3"/>
  <c r="AI65" i="3" s="1"/>
  <c r="AD65" i="3"/>
  <c r="AC65" i="3"/>
  <c r="AF65" i="3" s="1"/>
  <c r="S65" i="3"/>
  <c r="T65" i="3" s="1"/>
  <c r="R65" i="3"/>
  <c r="BG64" i="3"/>
  <c r="BE64" i="3"/>
  <c r="AV64" i="3"/>
  <c r="AX64" i="3" s="1"/>
  <c r="AU64" i="3"/>
  <c r="AW64" i="3" s="1"/>
  <c r="AS64" i="3"/>
  <c r="AR64" i="3"/>
  <c r="AI64" i="3"/>
  <c r="AD64" i="3"/>
  <c r="AG64" i="3" s="1"/>
  <c r="AC64" i="3"/>
  <c r="AF64" i="3" s="1"/>
  <c r="AH64" i="3" s="1"/>
  <c r="S64" i="3"/>
  <c r="R64" i="3"/>
  <c r="T64" i="3" s="1"/>
  <c r="BE63" i="3"/>
  <c r="BG63" i="3" s="1"/>
  <c r="AV63" i="3"/>
  <c r="AX63" i="3" s="1"/>
  <c r="AS63" i="3"/>
  <c r="AR63" i="3"/>
  <c r="AU63" i="3" s="1"/>
  <c r="AW63" i="3" s="1"/>
  <c r="AF63" i="3"/>
  <c r="AH63" i="3" s="1"/>
  <c r="AD63" i="3"/>
  <c r="AG63" i="3" s="1"/>
  <c r="AI63" i="3" s="1"/>
  <c r="AC63" i="3"/>
  <c r="S63" i="3"/>
  <c r="R63" i="3"/>
  <c r="BE62" i="3"/>
  <c r="BG62" i="3" s="1"/>
  <c r="AV62" i="3"/>
  <c r="AX62" i="3" s="1"/>
  <c r="AS62" i="3"/>
  <c r="AR62" i="3"/>
  <c r="AU62" i="3" s="1"/>
  <c r="AW62" i="3" s="1"/>
  <c r="AF62" i="3"/>
  <c r="AH62" i="3" s="1"/>
  <c r="AD62" i="3"/>
  <c r="AG62" i="3" s="1"/>
  <c r="AI62" i="3" s="1"/>
  <c r="AC62" i="3"/>
  <c r="S62" i="3"/>
  <c r="R62" i="3"/>
  <c r="CB61" i="3"/>
  <c r="CA61" i="3"/>
  <c r="BE61" i="3"/>
  <c r="BG61" i="3" s="1"/>
  <c r="AU61" i="3"/>
  <c r="AW61" i="3" s="1"/>
  <c r="AS61" i="3"/>
  <c r="AV61" i="3" s="1"/>
  <c r="AX61" i="3" s="1"/>
  <c r="AR61" i="3"/>
  <c r="AG61" i="3"/>
  <c r="AI61" i="3" s="1"/>
  <c r="AD61" i="3"/>
  <c r="AC61" i="3"/>
  <c r="AF61" i="3" s="1"/>
  <c r="AH61" i="3" s="1"/>
  <c r="S61" i="3"/>
  <c r="T61" i="3" s="1"/>
  <c r="R61" i="3"/>
  <c r="CQ60" i="3"/>
  <c r="CP60" i="3"/>
  <c r="CB60" i="3"/>
  <c r="CA60" i="3"/>
  <c r="CC60" i="3" s="1"/>
  <c r="BE60" i="3"/>
  <c r="BG60" i="3" s="1"/>
  <c r="AW60" i="3"/>
  <c r="AV60" i="3"/>
  <c r="AX60" i="3" s="1"/>
  <c r="AS60" i="3"/>
  <c r="AR60" i="3"/>
  <c r="AU60" i="3" s="1"/>
  <c r="AF60" i="3"/>
  <c r="AH60" i="3" s="1"/>
  <c r="AD60" i="3"/>
  <c r="AG60" i="3" s="1"/>
  <c r="AI60" i="3" s="1"/>
  <c r="AC60" i="3"/>
  <c r="S60" i="3"/>
  <c r="R60" i="3"/>
  <c r="T60" i="3" s="1"/>
  <c r="CQ59" i="3"/>
  <c r="CP59" i="3"/>
  <c r="CR59" i="3" s="1"/>
  <c r="CB59" i="3"/>
  <c r="CC59" i="3" s="1"/>
  <c r="CA59" i="3"/>
  <c r="BG59" i="3"/>
  <c r="BE59" i="3"/>
  <c r="AV59" i="3"/>
  <c r="AX59" i="3" s="1"/>
  <c r="AU59" i="3"/>
  <c r="AW59" i="3" s="1"/>
  <c r="AS59" i="3"/>
  <c r="AR59" i="3"/>
  <c r="AD59" i="3"/>
  <c r="AG59" i="3" s="1"/>
  <c r="AI59" i="3" s="1"/>
  <c r="AC59" i="3"/>
  <c r="AF59" i="3" s="1"/>
  <c r="AH59" i="3" s="1"/>
  <c r="S59" i="3"/>
  <c r="R59" i="3"/>
  <c r="T59" i="3" s="1"/>
  <c r="CQ58" i="3"/>
  <c r="CR58" i="3" s="1"/>
  <c r="CP58" i="3"/>
  <c r="CC58" i="3"/>
  <c r="CB58" i="3"/>
  <c r="CA58" i="3"/>
  <c r="BE58" i="3"/>
  <c r="BG58" i="3" s="1"/>
  <c r="AU58" i="3"/>
  <c r="AW58" i="3" s="1"/>
  <c r="AS58" i="3"/>
  <c r="AV58" i="3" s="1"/>
  <c r="AX58" i="3" s="1"/>
  <c r="AR58" i="3"/>
  <c r="AG58" i="3"/>
  <c r="AI58" i="3" s="1"/>
  <c r="AD58" i="3"/>
  <c r="AC58" i="3"/>
  <c r="AF58" i="3" s="1"/>
  <c r="AH58" i="3" s="1"/>
  <c r="S58" i="3"/>
  <c r="T58" i="3" s="1"/>
  <c r="R58" i="3"/>
  <c r="CR57" i="3"/>
  <c r="CQ57" i="3"/>
  <c r="CP57" i="3"/>
  <c r="CB57" i="3"/>
  <c r="CA57" i="3"/>
  <c r="BG57" i="3"/>
  <c r="BE57" i="3"/>
  <c r="AX57" i="3"/>
  <c r="AS57" i="3"/>
  <c r="AV57" i="3" s="1"/>
  <c r="AR57" i="3"/>
  <c r="AU57" i="3" s="1"/>
  <c r="AW57" i="3" s="1"/>
  <c r="AG57" i="3"/>
  <c r="AI57" i="3" s="1"/>
  <c r="AF57" i="3"/>
  <c r="AH57" i="3" s="1"/>
  <c r="AD57" i="3"/>
  <c r="AC57" i="3"/>
  <c r="T57" i="3"/>
  <c r="S57" i="3"/>
  <c r="R57" i="3"/>
  <c r="F57" i="3"/>
  <c r="E57" i="3"/>
  <c r="F56" i="3"/>
  <c r="E56" i="3"/>
  <c r="CQ54" i="3"/>
  <c r="CP54" i="3"/>
  <c r="CR54" i="3" s="1"/>
  <c r="CC54" i="3"/>
  <c r="CB54" i="3"/>
  <c r="CA54" i="3"/>
  <c r="BE54" i="3"/>
  <c r="BG54" i="3" s="1"/>
  <c r="AV54" i="3"/>
  <c r="AX54" i="3" s="1"/>
  <c r="AU54" i="3"/>
  <c r="AW54" i="3" s="1"/>
  <c r="AS54" i="3"/>
  <c r="AR54" i="3"/>
  <c r="AD54" i="3"/>
  <c r="AG54" i="3" s="1"/>
  <c r="AI54" i="3" s="1"/>
  <c r="AC54" i="3"/>
  <c r="AF54" i="3" s="1"/>
  <c r="AH54" i="3" s="1"/>
  <c r="S54" i="3"/>
  <c r="R54" i="3"/>
  <c r="T54" i="3" s="1"/>
  <c r="CR53" i="3"/>
  <c r="CQ53" i="3"/>
  <c r="CP53" i="3"/>
  <c r="CB53" i="3"/>
  <c r="CC53" i="3" s="1"/>
  <c r="CA53" i="3"/>
  <c r="BE53" i="3"/>
  <c r="BG53" i="3" s="1"/>
  <c r="AU53" i="3"/>
  <c r="AW53" i="3" s="1"/>
  <c r="AS53" i="3"/>
  <c r="AV53" i="3" s="1"/>
  <c r="AX53" i="3" s="1"/>
  <c r="AR53" i="3"/>
  <c r="AG53" i="3"/>
  <c r="AI53" i="3" s="1"/>
  <c r="AD53" i="3"/>
  <c r="AC53" i="3"/>
  <c r="AF53" i="3" s="1"/>
  <c r="AH53" i="3" s="1"/>
  <c r="T53" i="3"/>
  <c r="S53" i="3"/>
  <c r="R53" i="3"/>
  <c r="CQ52" i="3"/>
  <c r="CP52" i="3"/>
  <c r="CR52" i="3" s="1"/>
  <c r="CB52" i="3"/>
  <c r="CA52" i="3"/>
  <c r="CC52" i="3" s="1"/>
  <c r="BG52" i="3"/>
  <c r="BE52" i="3"/>
  <c r="AV52" i="3"/>
  <c r="AX52" i="3" s="1"/>
  <c r="AS52" i="3"/>
  <c r="AR52" i="3"/>
  <c r="AU52" i="3" s="1"/>
  <c r="AW52" i="3" s="1"/>
  <c r="AF52" i="3"/>
  <c r="AH52" i="3" s="1"/>
  <c r="AD52" i="3"/>
  <c r="AG52" i="3" s="1"/>
  <c r="AI52" i="3" s="1"/>
  <c r="AC52" i="3"/>
  <c r="S52" i="3"/>
  <c r="R52" i="3"/>
  <c r="T52" i="3" s="1"/>
  <c r="CR51" i="3"/>
  <c r="CQ51" i="3"/>
  <c r="CQ61" i="3" s="1"/>
  <c r="F40" i="3" s="1"/>
  <c r="CP51" i="3"/>
  <c r="BE51" i="3"/>
  <c r="BG51" i="3" s="1"/>
  <c r="AV51" i="3"/>
  <c r="AX51" i="3" s="1"/>
  <c r="AU51" i="3"/>
  <c r="AW51" i="3" s="1"/>
  <c r="AS51" i="3"/>
  <c r="AR51" i="3"/>
  <c r="AH51" i="3"/>
  <c r="AD51" i="3"/>
  <c r="AG51" i="3" s="1"/>
  <c r="AI51" i="3" s="1"/>
  <c r="AC51" i="3"/>
  <c r="AF51" i="3" s="1"/>
  <c r="S51" i="3"/>
  <c r="R51" i="3"/>
  <c r="T51" i="3" s="1"/>
  <c r="D51" i="3"/>
  <c r="BE50" i="3"/>
  <c r="BG50" i="3" s="1"/>
  <c r="AS50" i="3"/>
  <c r="AV50" i="3" s="1"/>
  <c r="AX50" i="3" s="1"/>
  <c r="AR50" i="3"/>
  <c r="AU50" i="3" s="1"/>
  <c r="AW50" i="3" s="1"/>
  <c r="AG50" i="3"/>
  <c r="AI50" i="3" s="1"/>
  <c r="AF50" i="3"/>
  <c r="AH50" i="3" s="1"/>
  <c r="AD50" i="3"/>
  <c r="AC50" i="3"/>
  <c r="S50" i="3"/>
  <c r="T50" i="3" s="1"/>
  <c r="R50" i="3"/>
  <c r="D50" i="3"/>
  <c r="BE49" i="3"/>
  <c r="BG49" i="3" s="1"/>
  <c r="AV49" i="3"/>
  <c r="AX49" i="3" s="1"/>
  <c r="AU49" i="3"/>
  <c r="AW49" i="3" s="1"/>
  <c r="AS49" i="3"/>
  <c r="AR49" i="3"/>
  <c r="AD49" i="3"/>
  <c r="AG49" i="3" s="1"/>
  <c r="AI49" i="3" s="1"/>
  <c r="AC49" i="3"/>
  <c r="AF49" i="3" s="1"/>
  <c r="AH49" i="3" s="1"/>
  <c r="S49" i="3"/>
  <c r="R49" i="3"/>
  <c r="BE48" i="3"/>
  <c r="BG48" i="3" s="1"/>
  <c r="AX48" i="3"/>
  <c r="AU48" i="3"/>
  <c r="AW48" i="3" s="1"/>
  <c r="AS48" i="3"/>
  <c r="AV48" i="3" s="1"/>
  <c r="AR48" i="3"/>
  <c r="AG48" i="3"/>
  <c r="AI48" i="3" s="1"/>
  <c r="AD48" i="3"/>
  <c r="AC48" i="3"/>
  <c r="AF48" i="3" s="1"/>
  <c r="AH48" i="3" s="1"/>
  <c r="BG47" i="3"/>
  <c r="BE47" i="3"/>
  <c r="AV47" i="3"/>
  <c r="AX47" i="3" s="1"/>
  <c r="AU47" i="3"/>
  <c r="AW47" i="3" s="1"/>
  <c r="AS47" i="3"/>
  <c r="AR47" i="3"/>
  <c r="AI47" i="3"/>
  <c r="AH47" i="3"/>
  <c r="AD47" i="3"/>
  <c r="AG47" i="3" s="1"/>
  <c r="AC47" i="3"/>
  <c r="AF47" i="3" s="1"/>
  <c r="BG46" i="3"/>
  <c r="BE46" i="3"/>
  <c r="AV46" i="3"/>
  <c r="AX46" i="3" s="1"/>
  <c r="AS46" i="3"/>
  <c r="AR46" i="3"/>
  <c r="AU46" i="3" s="1"/>
  <c r="AW46" i="3" s="1"/>
  <c r="AF46" i="3"/>
  <c r="AH46" i="3" s="1"/>
  <c r="AD46" i="3"/>
  <c r="AG46" i="3" s="1"/>
  <c r="AI46" i="3" s="1"/>
  <c r="AC46" i="3"/>
  <c r="BE45" i="3"/>
  <c r="BG45" i="3" s="1"/>
  <c r="AS45" i="3"/>
  <c r="AV45" i="3" s="1"/>
  <c r="AR45" i="3"/>
  <c r="AU45" i="3" s="1"/>
  <c r="AW45" i="3" s="1"/>
  <c r="AG45" i="3"/>
  <c r="AF45" i="3"/>
  <c r="AD45" i="3"/>
  <c r="AC45" i="3"/>
  <c r="BE44" i="3"/>
  <c r="BG44" i="3" s="1"/>
  <c r="D44" i="3"/>
  <c r="D43" i="3"/>
  <c r="CB41" i="3"/>
  <c r="BY41" i="3"/>
  <c r="CQ40" i="3"/>
  <c r="CN40" i="3"/>
  <c r="CB40" i="3"/>
  <c r="CA40" i="3"/>
  <c r="BY40" i="3"/>
  <c r="R40" i="3"/>
  <c r="CQ39" i="3"/>
  <c r="CN39" i="3"/>
  <c r="CP39" i="3" s="1"/>
  <c r="CB39" i="3"/>
  <c r="CA39" i="3"/>
  <c r="BY39" i="3"/>
  <c r="S39" i="3"/>
  <c r="R39" i="3"/>
  <c r="T39" i="3" s="1"/>
  <c r="CQ38" i="3"/>
  <c r="CN38" i="3"/>
  <c r="CP38" i="3" s="1"/>
  <c r="CB38" i="3"/>
  <c r="CA38" i="3"/>
  <c r="BY38" i="3"/>
  <c r="S38" i="3"/>
  <c r="S40" i="3" s="1"/>
  <c r="F17" i="3" s="1"/>
  <c r="R38" i="3"/>
  <c r="T38" i="3" s="1"/>
  <c r="CQ37" i="3"/>
  <c r="CN37" i="3"/>
  <c r="CP37" i="3" s="1"/>
  <c r="CB37" i="3"/>
  <c r="CA37" i="3"/>
  <c r="BY37" i="3"/>
  <c r="D37" i="3"/>
  <c r="CP36" i="3"/>
  <c r="CQ36" i="3" s="1"/>
  <c r="CN36" i="3"/>
  <c r="BY36" i="3"/>
  <c r="CA36" i="3" s="1"/>
  <c r="CB36" i="3" s="1"/>
  <c r="AS36" i="3"/>
  <c r="AP36" i="3"/>
  <c r="AD36" i="3"/>
  <c r="AA36" i="3"/>
  <c r="CN35" i="3"/>
  <c r="CP35" i="3" s="1"/>
  <c r="CQ35" i="3" s="1"/>
  <c r="CB35" i="3"/>
  <c r="CA35" i="3"/>
  <c r="BY35" i="3"/>
  <c r="BG35" i="3"/>
  <c r="BE35" i="3"/>
  <c r="AS35" i="3"/>
  <c r="AP35" i="3"/>
  <c r="AR35" i="3" s="1"/>
  <c r="AD35" i="3"/>
  <c r="AC35" i="3"/>
  <c r="AA35" i="3"/>
  <c r="CQ34" i="3"/>
  <c r="CN34" i="3"/>
  <c r="CP34" i="3" s="1"/>
  <c r="CA34" i="3"/>
  <c r="CB34" i="3" s="1"/>
  <c r="BY34" i="3"/>
  <c r="BG34" i="3"/>
  <c r="BE34" i="3"/>
  <c r="AS34" i="3"/>
  <c r="AP34" i="3"/>
  <c r="AR34" i="3" s="1"/>
  <c r="AD34" i="3"/>
  <c r="AC34" i="3"/>
  <c r="AA34" i="3"/>
  <c r="CN33" i="3"/>
  <c r="CP33" i="3" s="1"/>
  <c r="CQ33" i="3" s="1"/>
  <c r="CB33" i="3"/>
  <c r="CA33" i="3"/>
  <c r="BY33" i="3"/>
  <c r="BG33" i="3"/>
  <c r="BE33" i="3"/>
  <c r="AP33" i="3"/>
  <c r="AR33" i="3" s="1"/>
  <c r="AS33" i="3" s="1"/>
  <c r="AD33" i="3"/>
  <c r="AC33" i="3"/>
  <c r="AA33" i="3"/>
  <c r="CN32" i="3"/>
  <c r="CP32" i="3" s="1"/>
  <c r="CQ32" i="3" s="1"/>
  <c r="CB32" i="3"/>
  <c r="CA32" i="3"/>
  <c r="BY32" i="3"/>
  <c r="BE32" i="3"/>
  <c r="BG32" i="3" s="1"/>
  <c r="AS32" i="3"/>
  <c r="AR32" i="3"/>
  <c r="AP32" i="3"/>
  <c r="AD32" i="3"/>
  <c r="AC32" i="3"/>
  <c r="AA32" i="3"/>
  <c r="F32" i="3"/>
  <c r="CN31" i="3"/>
  <c r="CP31" i="3" s="1"/>
  <c r="CQ31" i="3" s="1"/>
  <c r="CB31" i="3"/>
  <c r="CA31" i="3"/>
  <c r="BY31" i="3"/>
  <c r="BG31" i="3"/>
  <c r="BE31" i="3"/>
  <c r="AP31" i="3"/>
  <c r="AR31" i="3" s="1"/>
  <c r="AS31" i="3" s="1"/>
  <c r="AD31" i="3"/>
  <c r="AC31" i="3"/>
  <c r="AA31" i="3"/>
  <c r="CP30" i="3"/>
  <c r="CQ30" i="3" s="1"/>
  <c r="CN30" i="3"/>
  <c r="BY30" i="3"/>
  <c r="CA30" i="3" s="1"/>
  <c r="CB30" i="3" s="1"/>
  <c r="BR30" i="3"/>
  <c r="BQ30" i="3"/>
  <c r="BP30" i="3"/>
  <c r="BG30" i="3"/>
  <c r="BE30" i="3"/>
  <c r="AP30" i="3"/>
  <c r="AR30" i="3" s="1"/>
  <c r="AS30" i="3" s="1"/>
  <c r="AD30" i="3"/>
  <c r="AC30" i="3"/>
  <c r="AA30" i="3"/>
  <c r="D30" i="3"/>
  <c r="CQ29" i="3"/>
  <c r="CP29" i="3"/>
  <c r="CN29" i="3"/>
  <c r="CA29" i="3"/>
  <c r="CB29" i="3" s="1"/>
  <c r="BY29" i="3"/>
  <c r="BQ29" i="3"/>
  <c r="BP29" i="3"/>
  <c r="BR29" i="3" s="1"/>
  <c r="BG29" i="3"/>
  <c r="BE29" i="3"/>
  <c r="AR29" i="3"/>
  <c r="AS29" i="3" s="1"/>
  <c r="AP29" i="3"/>
  <c r="AA29" i="3"/>
  <c r="AC29" i="3" s="1"/>
  <c r="AD29" i="3" s="1"/>
  <c r="T29" i="3"/>
  <c r="S29" i="3"/>
  <c r="R29" i="3"/>
  <c r="CP28" i="3"/>
  <c r="CQ28" i="3" s="1"/>
  <c r="CN28" i="3"/>
  <c r="BY28" i="3"/>
  <c r="CA28" i="3" s="1"/>
  <c r="CB28" i="3" s="1"/>
  <c r="BR28" i="3"/>
  <c r="BQ28" i="3"/>
  <c r="BP28" i="3"/>
  <c r="BG28" i="3"/>
  <c r="BE28" i="3"/>
  <c r="AP28" i="3"/>
  <c r="AR28" i="3" s="1"/>
  <c r="AS28" i="3" s="1"/>
  <c r="AD28" i="3"/>
  <c r="AC28" i="3"/>
  <c r="AA28" i="3"/>
  <c r="T28" i="3"/>
  <c r="S28" i="3"/>
  <c r="R28" i="3"/>
  <c r="CN27" i="3"/>
  <c r="CP27" i="3" s="1"/>
  <c r="CQ27" i="3" s="1"/>
  <c r="CB27" i="3"/>
  <c r="CA27" i="3"/>
  <c r="BY27" i="3"/>
  <c r="BR27" i="3"/>
  <c r="BQ27" i="3"/>
  <c r="BP27" i="3"/>
  <c r="BE27" i="3"/>
  <c r="BG27" i="3" s="1"/>
  <c r="AS27" i="3"/>
  <c r="AR27" i="3"/>
  <c r="AP27" i="3"/>
  <c r="AD27" i="3"/>
  <c r="AC27" i="3"/>
  <c r="AA27" i="3"/>
  <c r="S27" i="3"/>
  <c r="R27" i="3"/>
  <c r="T27" i="3" s="1"/>
  <c r="D27" i="3"/>
  <c r="CP26" i="3"/>
  <c r="CQ26" i="3" s="1"/>
  <c r="CN26" i="3"/>
  <c r="BY26" i="3"/>
  <c r="CA26" i="3" s="1"/>
  <c r="CB26" i="3" s="1"/>
  <c r="BR26" i="3"/>
  <c r="BQ26" i="3"/>
  <c r="BP26" i="3"/>
  <c r="BG26" i="3"/>
  <c r="BE26" i="3"/>
  <c r="AP26" i="3"/>
  <c r="AR26" i="3" s="1"/>
  <c r="AS26" i="3" s="1"/>
  <c r="AD26" i="3"/>
  <c r="AC26" i="3"/>
  <c r="AA26" i="3"/>
  <c r="T26" i="3"/>
  <c r="S26" i="3"/>
  <c r="R26" i="3"/>
  <c r="CQ25" i="3"/>
  <c r="CP25" i="3"/>
  <c r="CN25" i="3"/>
  <c r="CB25" i="3"/>
  <c r="CA25" i="3"/>
  <c r="BY25" i="3"/>
  <c r="BQ25" i="3"/>
  <c r="BP25" i="3"/>
  <c r="BG25" i="3"/>
  <c r="BE25" i="3"/>
  <c r="AS25" i="3"/>
  <c r="AR25" i="3"/>
  <c r="AP25" i="3"/>
  <c r="AC25" i="3"/>
  <c r="AD25" i="3" s="1"/>
  <c r="AA25" i="3"/>
  <c r="S25" i="3"/>
  <c r="R25" i="3"/>
  <c r="T25" i="3" s="1"/>
  <c r="CP24" i="3"/>
  <c r="CQ24" i="3" s="1"/>
  <c r="CN24" i="3"/>
  <c r="BY24" i="3"/>
  <c r="CA24" i="3" s="1"/>
  <c r="CB24" i="3" s="1"/>
  <c r="BR24" i="3"/>
  <c r="BQ24" i="3"/>
  <c r="BP24" i="3"/>
  <c r="BG24" i="3"/>
  <c r="BE24" i="3"/>
  <c r="AP24" i="3"/>
  <c r="AR24" i="3" s="1"/>
  <c r="AS24" i="3" s="1"/>
  <c r="AD24" i="3"/>
  <c r="AC24" i="3"/>
  <c r="AA24" i="3"/>
  <c r="T24" i="3"/>
  <c r="S24" i="3"/>
  <c r="R24" i="3"/>
  <c r="CQ23" i="3"/>
  <c r="CP23" i="3"/>
  <c r="CN23" i="3"/>
  <c r="CB23" i="3"/>
  <c r="CA23" i="3"/>
  <c r="BY23" i="3"/>
  <c r="BQ23" i="3"/>
  <c r="BP23" i="3"/>
  <c r="BR23" i="3" s="1"/>
  <c r="BG23" i="3"/>
  <c r="BE23" i="3"/>
  <c r="AS23" i="3"/>
  <c r="AR23" i="3"/>
  <c r="AP23" i="3"/>
  <c r="AC23" i="3"/>
  <c r="AD23" i="3" s="1"/>
  <c r="AA23" i="3"/>
  <c r="S23" i="3"/>
  <c r="R23" i="3"/>
  <c r="T23" i="3" s="1"/>
  <c r="CP22" i="3"/>
  <c r="CQ22" i="3" s="1"/>
  <c r="CN22" i="3"/>
  <c r="BY22" i="3"/>
  <c r="BR22" i="3"/>
  <c r="BQ22" i="3"/>
  <c r="BP22" i="3"/>
  <c r="BG22" i="3"/>
  <c r="BE22" i="3"/>
  <c r="AP22" i="3"/>
  <c r="AR22" i="3" s="1"/>
  <c r="AS22" i="3" s="1"/>
  <c r="AD22" i="3"/>
  <c r="AC22" i="3"/>
  <c r="AA22" i="3"/>
  <c r="T22" i="3"/>
  <c r="S22" i="3"/>
  <c r="R22" i="3"/>
  <c r="F22" i="3"/>
  <c r="CN21" i="3"/>
  <c r="BR21" i="3"/>
  <c r="BQ21" i="3"/>
  <c r="BP21" i="3"/>
  <c r="BE21" i="3"/>
  <c r="BG21" i="3" s="1"/>
  <c r="AP21" i="3"/>
  <c r="AR21" i="3" s="1"/>
  <c r="AS21" i="3" s="1"/>
  <c r="AD21" i="3"/>
  <c r="AC21" i="3"/>
  <c r="AA21" i="3"/>
  <c r="S21" i="3"/>
  <c r="T21" i="3" s="1"/>
  <c r="R21" i="3"/>
  <c r="BR20" i="3"/>
  <c r="BQ20" i="3"/>
  <c r="BP20" i="3"/>
  <c r="BG20" i="3"/>
  <c r="BE20" i="3"/>
  <c r="AP20" i="3"/>
  <c r="AR20" i="3" s="1"/>
  <c r="AS20" i="3" s="1"/>
  <c r="AD20" i="3"/>
  <c r="AC20" i="3"/>
  <c r="AA20" i="3"/>
  <c r="T20" i="3"/>
  <c r="S20" i="3"/>
  <c r="R20" i="3"/>
  <c r="BQ19" i="3"/>
  <c r="BP19" i="3"/>
  <c r="BR19" i="3" s="1"/>
  <c r="BG19" i="3"/>
  <c r="BE19" i="3"/>
  <c r="AP19" i="3"/>
  <c r="AR19" i="3" s="1"/>
  <c r="AS19" i="3" s="1"/>
  <c r="AA19" i="3"/>
  <c r="AC19" i="3" s="1"/>
  <c r="AD19" i="3" s="1"/>
  <c r="T19" i="3"/>
  <c r="S19" i="3"/>
  <c r="R19" i="3"/>
  <c r="BQ18" i="3"/>
  <c r="BP18" i="3"/>
  <c r="BR18" i="3" s="1"/>
  <c r="BG18" i="3"/>
  <c r="BE18" i="3"/>
  <c r="AR18" i="3"/>
  <c r="AS18" i="3" s="1"/>
  <c r="AP18" i="3"/>
  <c r="AC18" i="3"/>
  <c r="AD18" i="3" s="1"/>
  <c r="AA18" i="3"/>
  <c r="S18" i="3"/>
  <c r="R18" i="3"/>
  <c r="T18" i="3" s="1"/>
  <c r="BQ17" i="3"/>
  <c r="BR17" i="3" s="1"/>
  <c r="BP17" i="3"/>
  <c r="BE17" i="3"/>
  <c r="BG17" i="3" s="1"/>
  <c r="AD17" i="3"/>
  <c r="AC17" i="3"/>
  <c r="AA17" i="3"/>
  <c r="T17" i="3"/>
  <c r="S17" i="3"/>
  <c r="R17" i="3"/>
  <c r="E17" i="3"/>
  <c r="D17" i="3"/>
  <c r="BQ16" i="3"/>
  <c r="BP16" i="3"/>
  <c r="BR16" i="3" s="1"/>
  <c r="BG16" i="3"/>
  <c r="BE16" i="3"/>
  <c r="AA16" i="3"/>
  <c r="AC16" i="3" s="1"/>
  <c r="AD16" i="3" s="1"/>
  <c r="S16" i="3"/>
  <c r="R16" i="3"/>
  <c r="T16" i="3" s="1"/>
  <c r="BQ15" i="3"/>
  <c r="BP15" i="3"/>
  <c r="BR15" i="3" s="1"/>
  <c r="BG15" i="3"/>
  <c r="BE15" i="3"/>
  <c r="AC15" i="3"/>
  <c r="AD15" i="3" s="1"/>
  <c r="AA15" i="3"/>
  <c r="F15" i="3"/>
  <c r="DA14" i="3"/>
  <c r="CX14" i="3"/>
  <c r="CU14" i="3"/>
  <c r="CB14" i="3"/>
  <c r="CA14" i="3"/>
  <c r="BQ14" i="3"/>
  <c r="BP14" i="3"/>
  <c r="BR14" i="3" s="1"/>
  <c r="BG14" i="3"/>
  <c r="BE14" i="3"/>
  <c r="AC14" i="3"/>
  <c r="AD14" i="3" s="1"/>
  <c r="AA14" i="3"/>
  <c r="DA13" i="3"/>
  <c r="CX13" i="3"/>
  <c r="CU13" i="3"/>
  <c r="CR13" i="3"/>
  <c r="CQ13" i="3"/>
  <c r="CP13" i="3"/>
  <c r="CB13" i="3"/>
  <c r="CA13" i="3"/>
  <c r="CC13" i="3" s="1"/>
  <c r="BR13" i="3"/>
  <c r="BQ13" i="3"/>
  <c r="BP13" i="3"/>
  <c r="BG13" i="3"/>
  <c r="BE13" i="3"/>
  <c r="AC13" i="3"/>
  <c r="AD13" i="3" s="1"/>
  <c r="AA13" i="3"/>
  <c r="S13" i="3"/>
  <c r="R13" i="3"/>
  <c r="T13" i="3" s="1"/>
  <c r="CX12" i="3"/>
  <c r="CX15" i="3" s="1"/>
  <c r="F42" i="3" s="1"/>
  <c r="D42" i="3" s="1"/>
  <c r="CU12" i="3"/>
  <c r="CU15" i="3" s="1"/>
  <c r="F21" i="3" s="1"/>
  <c r="D21" i="3" s="1"/>
  <c r="CQ12" i="3"/>
  <c r="CP12" i="3"/>
  <c r="CB12" i="3"/>
  <c r="CA12" i="3"/>
  <c r="CC12" i="3" s="1"/>
  <c r="BQ12" i="3"/>
  <c r="BR12" i="3" s="1"/>
  <c r="BP12" i="3"/>
  <c r="BG12" i="3"/>
  <c r="BE12" i="3"/>
  <c r="AD12" i="3"/>
  <c r="AA12" i="3"/>
  <c r="AC12" i="3" s="1"/>
  <c r="S12" i="3"/>
  <c r="R12" i="3"/>
  <c r="T12" i="3" s="1"/>
  <c r="CQ11" i="3"/>
  <c r="CP11" i="3"/>
  <c r="CR11" i="3" s="1"/>
  <c r="CB11" i="3"/>
  <c r="CA11" i="3"/>
  <c r="BR11" i="3"/>
  <c r="BQ11" i="3"/>
  <c r="BP11" i="3"/>
  <c r="BE11" i="3"/>
  <c r="BG11" i="3" s="1"/>
  <c r="AA11" i="3"/>
  <c r="S11" i="3"/>
  <c r="R11" i="3"/>
  <c r="DA10" i="3"/>
  <c r="DA12" i="3" s="1"/>
  <c r="DA15" i="3" s="1"/>
  <c r="F49" i="3" s="1"/>
  <c r="D49" i="3" s="1"/>
  <c r="CX10" i="3"/>
  <c r="CU10" i="3"/>
  <c r="CQ10" i="3"/>
  <c r="CR10" i="3" s="1"/>
  <c r="CP10" i="3"/>
  <c r="CB10" i="3"/>
  <c r="CB15" i="3" s="1"/>
  <c r="CA10" i="3"/>
  <c r="BQ10" i="3"/>
  <c r="BP10" i="3"/>
  <c r="BR10" i="3" s="1"/>
  <c r="BE10" i="3"/>
  <c r="BG10" i="3" s="1"/>
  <c r="S10" i="3"/>
  <c r="R10" i="3"/>
  <c r="T10" i="3" s="1"/>
  <c r="CR9" i="3"/>
  <c r="CQ9" i="3"/>
  <c r="CP9" i="3"/>
  <c r="CC9" i="3"/>
  <c r="CB9" i="3"/>
  <c r="CA9" i="3"/>
  <c r="BQ9" i="3"/>
  <c r="BP9" i="3"/>
  <c r="BR9" i="3" s="1"/>
  <c r="BE9" i="3"/>
  <c r="BG9" i="3" s="1"/>
  <c r="S9" i="3"/>
  <c r="T9" i="3" s="1"/>
  <c r="R9" i="3"/>
  <c r="CQ8" i="3"/>
  <c r="CP8" i="3"/>
  <c r="CR8" i="3" s="1"/>
  <c r="CB8" i="3"/>
  <c r="CA8" i="3"/>
  <c r="CC8" i="3" s="1"/>
  <c r="BQ8" i="3"/>
  <c r="BP8" i="3"/>
  <c r="BR8" i="3" s="1"/>
  <c r="BG8" i="3"/>
  <c r="BE8" i="3"/>
  <c r="S8" i="3"/>
  <c r="R8" i="3"/>
  <c r="T8" i="3" s="1"/>
  <c r="CQ7" i="3"/>
  <c r="CQ14" i="3" s="1"/>
  <c r="CP7" i="3"/>
  <c r="CR7" i="3" s="1"/>
  <c r="BQ7" i="3"/>
  <c r="BP7" i="3"/>
  <c r="BR7" i="3" s="1"/>
  <c r="BE7" i="3"/>
  <c r="BG7" i="3" s="1"/>
  <c r="S7" i="3"/>
  <c r="R7" i="3"/>
  <c r="BQ6" i="3"/>
  <c r="BP6" i="3"/>
  <c r="BP32" i="3" s="1"/>
  <c r="E29" i="3" s="1"/>
  <c r="BE6" i="3"/>
  <c r="BG6" i="3" s="1"/>
  <c r="S6" i="3"/>
  <c r="R6" i="3"/>
  <c r="T6" i="3" s="1"/>
  <c r="BG5" i="3"/>
  <c r="BE5" i="3"/>
  <c r="T98" i="2"/>
  <c r="S98" i="2"/>
  <c r="R98" i="2"/>
  <c r="S97" i="2"/>
  <c r="R97" i="2"/>
  <c r="T97" i="2" s="1"/>
  <c r="S96" i="2"/>
  <c r="R96" i="2"/>
  <c r="T96" i="2" s="1"/>
  <c r="S95" i="2"/>
  <c r="R95" i="2"/>
  <c r="T95" i="2" s="1"/>
  <c r="T94" i="2"/>
  <c r="S94" i="2"/>
  <c r="R94" i="2"/>
  <c r="S93" i="2"/>
  <c r="T93" i="2" s="1"/>
  <c r="R93" i="2"/>
  <c r="CT92" i="2"/>
  <c r="CV92" i="2" s="1"/>
  <c r="CQ92" i="2"/>
  <c r="CP92" i="2"/>
  <c r="CS92" i="2" s="1"/>
  <c r="CU92" i="2" s="1"/>
  <c r="T92" i="2"/>
  <c r="S92" i="2"/>
  <c r="R92" i="2"/>
  <c r="CU91" i="2"/>
  <c r="CQ91" i="2"/>
  <c r="CT91" i="2" s="1"/>
  <c r="CV91" i="2" s="1"/>
  <c r="CP91" i="2"/>
  <c r="CS91" i="2" s="1"/>
  <c r="CD91" i="2"/>
  <c r="CF91" i="2" s="1"/>
  <c r="CB91" i="2"/>
  <c r="CE91" i="2" s="1"/>
  <c r="CG91" i="2" s="1"/>
  <c r="CA91" i="2"/>
  <c r="S91" i="2"/>
  <c r="R91" i="2"/>
  <c r="T91" i="2" s="1"/>
  <c r="CT90" i="2"/>
  <c r="CV90" i="2" s="1"/>
  <c r="CQ90" i="2"/>
  <c r="CP90" i="2"/>
  <c r="CS90" i="2" s="1"/>
  <c r="CU90" i="2" s="1"/>
  <c r="CB90" i="2"/>
  <c r="CE90" i="2" s="1"/>
  <c r="CG90" i="2" s="1"/>
  <c r="CA90" i="2"/>
  <c r="CD90" i="2" s="1"/>
  <c r="CF90" i="2" s="1"/>
  <c r="S90" i="2"/>
  <c r="R90" i="2"/>
  <c r="T90" i="2" s="1"/>
  <c r="CS89" i="2"/>
  <c r="CU89" i="2" s="1"/>
  <c r="CQ89" i="2"/>
  <c r="CT89" i="2" s="1"/>
  <c r="CV89" i="2" s="1"/>
  <c r="CP89" i="2"/>
  <c r="CF89" i="2"/>
  <c r="CB89" i="2"/>
  <c r="CE89" i="2" s="1"/>
  <c r="CG89" i="2" s="1"/>
  <c r="CA89" i="2"/>
  <c r="CD89" i="2" s="1"/>
  <c r="S89" i="2"/>
  <c r="R89" i="2"/>
  <c r="T89" i="2" s="1"/>
  <c r="CV88" i="2"/>
  <c r="CQ88" i="2"/>
  <c r="CT88" i="2" s="1"/>
  <c r="CP88" i="2"/>
  <c r="CS88" i="2" s="1"/>
  <c r="CU88" i="2" s="1"/>
  <c r="CE88" i="2"/>
  <c r="CG88" i="2" s="1"/>
  <c r="CB88" i="2"/>
  <c r="CA88" i="2"/>
  <c r="CD88" i="2" s="1"/>
  <c r="CF88" i="2" s="1"/>
  <c r="CQ87" i="2"/>
  <c r="CT87" i="2" s="1"/>
  <c r="CV87" i="2" s="1"/>
  <c r="CP87" i="2"/>
  <c r="CS87" i="2" s="1"/>
  <c r="CU87" i="2" s="1"/>
  <c r="CE87" i="2"/>
  <c r="CG87" i="2" s="1"/>
  <c r="CB87" i="2"/>
  <c r="CA87" i="2"/>
  <c r="CD87" i="2" s="1"/>
  <c r="CF87" i="2" s="1"/>
  <c r="T87" i="2"/>
  <c r="S87" i="2"/>
  <c r="R87" i="2"/>
  <c r="CU86" i="2"/>
  <c r="CT86" i="2"/>
  <c r="CV86" i="2" s="1"/>
  <c r="CQ86" i="2"/>
  <c r="CP86" i="2"/>
  <c r="CS86" i="2" s="1"/>
  <c r="CD86" i="2"/>
  <c r="CF86" i="2" s="1"/>
  <c r="CB86" i="2"/>
  <c r="CE86" i="2" s="1"/>
  <c r="CG86" i="2" s="1"/>
  <c r="CA86" i="2"/>
  <c r="S86" i="2"/>
  <c r="S99" i="2" s="1"/>
  <c r="R86" i="2"/>
  <c r="R99" i="2" s="1"/>
  <c r="CT85" i="2"/>
  <c r="CV85" i="2" s="1"/>
  <c r="CS85" i="2"/>
  <c r="CU85" i="2" s="1"/>
  <c r="CQ85" i="2"/>
  <c r="CP85" i="2"/>
  <c r="CG85" i="2"/>
  <c r="CB85" i="2"/>
  <c r="CE85" i="2" s="1"/>
  <c r="CA85" i="2"/>
  <c r="CD85" i="2" s="1"/>
  <c r="CF85" i="2" s="1"/>
  <c r="T85" i="2"/>
  <c r="S85" i="2"/>
  <c r="CQ84" i="2"/>
  <c r="CT84" i="2" s="1"/>
  <c r="CV84" i="2" s="1"/>
  <c r="CP84" i="2"/>
  <c r="CS84" i="2" s="1"/>
  <c r="CU84" i="2" s="1"/>
  <c r="CE84" i="2"/>
  <c r="CG84" i="2" s="1"/>
  <c r="CD84" i="2"/>
  <c r="CF84" i="2" s="1"/>
  <c r="CB84" i="2"/>
  <c r="CA84" i="2"/>
  <c r="CV83" i="2"/>
  <c r="CQ83" i="2"/>
  <c r="CT83" i="2" s="1"/>
  <c r="CP83" i="2"/>
  <c r="CS83" i="2" s="1"/>
  <c r="CU83" i="2" s="1"/>
  <c r="CE83" i="2"/>
  <c r="CG83" i="2" s="1"/>
  <c r="CD83" i="2"/>
  <c r="CF83" i="2" s="1"/>
  <c r="CB83" i="2"/>
  <c r="CA83" i="2"/>
  <c r="CQ82" i="2"/>
  <c r="CT82" i="2" s="1"/>
  <c r="CV82" i="2" s="1"/>
  <c r="CP82" i="2"/>
  <c r="CS82" i="2" s="1"/>
  <c r="CU82" i="2" s="1"/>
  <c r="CE82" i="2"/>
  <c r="CG82" i="2" s="1"/>
  <c r="CD82" i="2"/>
  <c r="CF82" i="2" s="1"/>
  <c r="CB82" i="2"/>
  <c r="CA82" i="2"/>
  <c r="CS81" i="2"/>
  <c r="CU81" i="2" s="1"/>
  <c r="CQ81" i="2"/>
  <c r="CT81" i="2" s="1"/>
  <c r="CV81" i="2" s="1"/>
  <c r="CP81" i="2"/>
  <c r="CF81" i="2"/>
  <c r="CE81" i="2"/>
  <c r="CG81" i="2" s="1"/>
  <c r="CB81" i="2"/>
  <c r="CA81" i="2"/>
  <c r="CD81" i="2" s="1"/>
  <c r="BE81" i="2"/>
  <c r="BG81" i="2" s="1"/>
  <c r="CU80" i="2"/>
  <c r="CT80" i="2"/>
  <c r="CV80" i="2" s="1"/>
  <c r="CQ80" i="2"/>
  <c r="CP80" i="2"/>
  <c r="CS80" i="2" s="1"/>
  <c r="CD80" i="2"/>
  <c r="CF80" i="2" s="1"/>
  <c r="CB80" i="2"/>
  <c r="CE80" i="2" s="1"/>
  <c r="CG80" i="2" s="1"/>
  <c r="CA80" i="2"/>
  <c r="BE80" i="2"/>
  <c r="BG80" i="2" s="1"/>
  <c r="CT79" i="2"/>
  <c r="CV79" i="2" s="1"/>
  <c r="CS79" i="2"/>
  <c r="CU79" i="2" s="1"/>
  <c r="CQ79" i="2"/>
  <c r="CP79" i="2"/>
  <c r="CB79" i="2"/>
  <c r="CE79" i="2" s="1"/>
  <c r="CG79" i="2" s="1"/>
  <c r="CA79" i="2"/>
  <c r="CD79" i="2" s="1"/>
  <c r="CF79" i="2" s="1"/>
  <c r="BG79" i="2"/>
  <c r="BE79" i="2"/>
  <c r="AS79" i="2"/>
  <c r="AV79" i="2" s="1"/>
  <c r="AX79" i="2" s="1"/>
  <c r="AR79" i="2"/>
  <c r="AU79" i="2" s="1"/>
  <c r="AW79" i="2" s="1"/>
  <c r="AG79" i="2"/>
  <c r="AI79" i="2" s="1"/>
  <c r="AF79" i="2"/>
  <c r="AH79" i="2" s="1"/>
  <c r="AD79" i="2"/>
  <c r="AC79" i="2"/>
  <c r="CQ78" i="2"/>
  <c r="CT78" i="2" s="1"/>
  <c r="CV78" i="2" s="1"/>
  <c r="CP78" i="2"/>
  <c r="CS78" i="2" s="1"/>
  <c r="CU78" i="2" s="1"/>
  <c r="CE78" i="2"/>
  <c r="CG78" i="2" s="1"/>
  <c r="CD78" i="2"/>
  <c r="CF78" i="2" s="1"/>
  <c r="CB78" i="2"/>
  <c r="CA78" i="2"/>
  <c r="BG78" i="2"/>
  <c r="BE78" i="2"/>
  <c r="AV78" i="2"/>
  <c r="AX78" i="2" s="1"/>
  <c r="AU78" i="2"/>
  <c r="AW78" i="2" s="1"/>
  <c r="AS78" i="2"/>
  <c r="AR78" i="2"/>
  <c r="AD78" i="2"/>
  <c r="AG78" i="2" s="1"/>
  <c r="AI78" i="2" s="1"/>
  <c r="AC78" i="2"/>
  <c r="AF78" i="2" s="1"/>
  <c r="AH78" i="2" s="1"/>
  <c r="CT77" i="2"/>
  <c r="CV77" i="2" s="1"/>
  <c r="CQ77" i="2"/>
  <c r="CP77" i="2"/>
  <c r="CS77" i="2" s="1"/>
  <c r="CU77" i="2" s="1"/>
  <c r="CG77" i="2"/>
  <c r="CB77" i="2"/>
  <c r="CE77" i="2" s="1"/>
  <c r="CA77" i="2"/>
  <c r="CD77" i="2" s="1"/>
  <c r="CF77" i="2" s="1"/>
  <c r="BG77" i="2"/>
  <c r="BE77" i="2"/>
  <c r="AS77" i="2"/>
  <c r="AV77" i="2" s="1"/>
  <c r="AX77" i="2" s="1"/>
  <c r="AR77" i="2"/>
  <c r="AU77" i="2" s="1"/>
  <c r="AW77" i="2" s="1"/>
  <c r="AG77" i="2"/>
  <c r="AI77" i="2" s="1"/>
  <c r="AF77" i="2"/>
  <c r="AH77" i="2" s="1"/>
  <c r="AD77" i="2"/>
  <c r="AC77" i="2"/>
  <c r="CT76" i="2"/>
  <c r="CV76" i="2" s="1"/>
  <c r="CQ76" i="2"/>
  <c r="CP76" i="2"/>
  <c r="CS76" i="2" s="1"/>
  <c r="CU76" i="2" s="1"/>
  <c r="CD76" i="2"/>
  <c r="CF76" i="2" s="1"/>
  <c r="CB76" i="2"/>
  <c r="CE76" i="2" s="1"/>
  <c r="CG76" i="2" s="1"/>
  <c r="CA76" i="2"/>
  <c r="BE76" i="2"/>
  <c r="BG76" i="2" s="1"/>
  <c r="AU76" i="2"/>
  <c r="AW76" i="2" s="1"/>
  <c r="AS76" i="2"/>
  <c r="AV76" i="2" s="1"/>
  <c r="AX76" i="2" s="1"/>
  <c r="AR76" i="2"/>
  <c r="AH76" i="2"/>
  <c r="AG76" i="2"/>
  <c r="AI76" i="2" s="1"/>
  <c r="AD76" i="2"/>
  <c r="AC76" i="2"/>
  <c r="AF76" i="2" s="1"/>
  <c r="S76" i="2"/>
  <c r="R76" i="2"/>
  <c r="T76" i="2" s="1"/>
  <c r="CQ75" i="2"/>
  <c r="CT75" i="2" s="1"/>
  <c r="CV75" i="2" s="1"/>
  <c r="CP75" i="2"/>
  <c r="CS75" i="2" s="1"/>
  <c r="CU75" i="2" s="1"/>
  <c r="CE75" i="2"/>
  <c r="CG75" i="2" s="1"/>
  <c r="CB75" i="2"/>
  <c r="CA75" i="2"/>
  <c r="CD75" i="2" s="1"/>
  <c r="CF75" i="2" s="1"/>
  <c r="BG75" i="2"/>
  <c r="BE75" i="2"/>
  <c r="AS75" i="2"/>
  <c r="AV75" i="2" s="1"/>
  <c r="AX75" i="2" s="1"/>
  <c r="AR75" i="2"/>
  <c r="AU75" i="2" s="1"/>
  <c r="AW75" i="2" s="1"/>
  <c r="AD75" i="2"/>
  <c r="AG75" i="2" s="1"/>
  <c r="AI75" i="2" s="1"/>
  <c r="AC75" i="2"/>
  <c r="AF75" i="2" s="1"/>
  <c r="AH75" i="2" s="1"/>
  <c r="S75" i="2"/>
  <c r="R75" i="2"/>
  <c r="T75" i="2" s="1"/>
  <c r="CT74" i="2"/>
  <c r="CV74" i="2" s="1"/>
  <c r="CQ74" i="2"/>
  <c r="CP74" i="2"/>
  <c r="CS74" i="2" s="1"/>
  <c r="CU74" i="2" s="1"/>
  <c r="CB74" i="2"/>
  <c r="CE74" i="2" s="1"/>
  <c r="CG74" i="2" s="1"/>
  <c r="CA74" i="2"/>
  <c r="CD74" i="2" s="1"/>
  <c r="CF74" i="2" s="1"/>
  <c r="BE74" i="2"/>
  <c r="BG74" i="2" s="1"/>
  <c r="AU74" i="2"/>
  <c r="AW74" i="2" s="1"/>
  <c r="AS74" i="2"/>
  <c r="AV74" i="2" s="1"/>
  <c r="AX74" i="2" s="1"/>
  <c r="AR74" i="2"/>
  <c r="AG74" i="2"/>
  <c r="AI74" i="2" s="1"/>
  <c r="AF74" i="2"/>
  <c r="AH74" i="2" s="1"/>
  <c r="AD74" i="2"/>
  <c r="AC74" i="2"/>
  <c r="S74" i="2"/>
  <c r="T74" i="2" s="1"/>
  <c r="R74" i="2"/>
  <c r="CQ73" i="2"/>
  <c r="CT73" i="2" s="1"/>
  <c r="CV73" i="2" s="1"/>
  <c r="CP73" i="2"/>
  <c r="CS73" i="2" s="1"/>
  <c r="CU73" i="2" s="1"/>
  <c r="CD73" i="2"/>
  <c r="CF73" i="2" s="1"/>
  <c r="CB73" i="2"/>
  <c r="CE73" i="2" s="1"/>
  <c r="CG73" i="2" s="1"/>
  <c r="CA73" i="2"/>
  <c r="BG73" i="2"/>
  <c r="BE73" i="2"/>
  <c r="AU73" i="2"/>
  <c r="AW73" i="2" s="1"/>
  <c r="AS73" i="2"/>
  <c r="AV73" i="2" s="1"/>
  <c r="AX73" i="2" s="1"/>
  <c r="AR73" i="2"/>
  <c r="AD73" i="2"/>
  <c r="AG73" i="2" s="1"/>
  <c r="AI73" i="2" s="1"/>
  <c r="AC73" i="2"/>
  <c r="AF73" i="2" s="1"/>
  <c r="AH73" i="2" s="1"/>
  <c r="S73" i="2"/>
  <c r="R73" i="2"/>
  <c r="T73" i="2" s="1"/>
  <c r="CQ72" i="2"/>
  <c r="CT72" i="2" s="1"/>
  <c r="CP72" i="2"/>
  <c r="CS72" i="2" s="1"/>
  <c r="CE72" i="2"/>
  <c r="CG72" i="2" s="1"/>
  <c r="CB72" i="2"/>
  <c r="CA72" i="2"/>
  <c r="CD72" i="2" s="1"/>
  <c r="CF72" i="2" s="1"/>
  <c r="BE72" i="2"/>
  <c r="BG72" i="2" s="1"/>
  <c r="AV72" i="2"/>
  <c r="AX72" i="2" s="1"/>
  <c r="AU72" i="2"/>
  <c r="AW72" i="2" s="1"/>
  <c r="AS72" i="2"/>
  <c r="AR72" i="2"/>
  <c r="AF72" i="2"/>
  <c r="AH72" i="2" s="1"/>
  <c r="AD72" i="2"/>
  <c r="AG72" i="2" s="1"/>
  <c r="AI72" i="2" s="1"/>
  <c r="AC72" i="2"/>
  <c r="S72" i="2"/>
  <c r="R72" i="2"/>
  <c r="T72" i="2" s="1"/>
  <c r="CD71" i="2"/>
  <c r="CF71" i="2" s="1"/>
  <c r="CB71" i="2"/>
  <c r="CE71" i="2" s="1"/>
  <c r="CA71" i="2"/>
  <c r="BG71" i="2"/>
  <c r="BE71" i="2"/>
  <c r="AU71" i="2"/>
  <c r="AW71" i="2" s="1"/>
  <c r="AS71" i="2"/>
  <c r="AV71" i="2" s="1"/>
  <c r="AX71" i="2" s="1"/>
  <c r="AR71" i="2"/>
  <c r="AD71" i="2"/>
  <c r="AG71" i="2" s="1"/>
  <c r="AI71" i="2" s="1"/>
  <c r="AC71" i="2"/>
  <c r="AF71" i="2" s="1"/>
  <c r="AH71" i="2" s="1"/>
  <c r="S71" i="2"/>
  <c r="R71" i="2"/>
  <c r="T71" i="2" s="1"/>
  <c r="BE70" i="2"/>
  <c r="BG70" i="2" s="1"/>
  <c r="AV70" i="2"/>
  <c r="AX70" i="2" s="1"/>
  <c r="AU70" i="2"/>
  <c r="AW70" i="2" s="1"/>
  <c r="AS70" i="2"/>
  <c r="AR70" i="2"/>
  <c r="AF70" i="2"/>
  <c r="AH70" i="2" s="1"/>
  <c r="AD70" i="2"/>
  <c r="AG70" i="2" s="1"/>
  <c r="AI70" i="2" s="1"/>
  <c r="AC70" i="2"/>
  <c r="S70" i="2"/>
  <c r="R70" i="2"/>
  <c r="T70" i="2" s="1"/>
  <c r="BG69" i="2"/>
  <c r="BE69" i="2"/>
  <c r="AS69" i="2"/>
  <c r="AV69" i="2" s="1"/>
  <c r="AX69" i="2" s="1"/>
  <c r="AR69" i="2"/>
  <c r="AU69" i="2" s="1"/>
  <c r="AW69" i="2" s="1"/>
  <c r="AG69" i="2"/>
  <c r="AI69" i="2" s="1"/>
  <c r="AF69" i="2"/>
  <c r="AH69" i="2" s="1"/>
  <c r="AD69" i="2"/>
  <c r="AC69" i="2"/>
  <c r="T69" i="2"/>
  <c r="S69" i="2"/>
  <c r="R69" i="2"/>
  <c r="BE68" i="2"/>
  <c r="BG68" i="2" s="1"/>
  <c r="AU68" i="2"/>
  <c r="AW68" i="2" s="1"/>
  <c r="AS68" i="2"/>
  <c r="AV68" i="2" s="1"/>
  <c r="AX68" i="2" s="1"/>
  <c r="AR68" i="2"/>
  <c r="AG68" i="2"/>
  <c r="AI68" i="2" s="1"/>
  <c r="AD68" i="2"/>
  <c r="AC68" i="2"/>
  <c r="AF68" i="2" s="1"/>
  <c r="AH68" i="2" s="1"/>
  <c r="S68" i="2"/>
  <c r="T68" i="2" s="1"/>
  <c r="R68" i="2"/>
  <c r="BG67" i="2"/>
  <c r="BE67" i="2"/>
  <c r="AU67" i="2"/>
  <c r="AW67" i="2" s="1"/>
  <c r="AS67" i="2"/>
  <c r="AV67" i="2" s="1"/>
  <c r="AX67" i="2" s="1"/>
  <c r="AR67" i="2"/>
  <c r="AD67" i="2"/>
  <c r="AG67" i="2" s="1"/>
  <c r="AI67" i="2" s="1"/>
  <c r="AC67" i="2"/>
  <c r="AF67" i="2" s="1"/>
  <c r="AH67" i="2" s="1"/>
  <c r="S67" i="2"/>
  <c r="R67" i="2"/>
  <c r="T67" i="2" s="1"/>
  <c r="BE66" i="2"/>
  <c r="BG66" i="2" s="1"/>
  <c r="AV66" i="2"/>
  <c r="AX66" i="2" s="1"/>
  <c r="AU66" i="2"/>
  <c r="AW66" i="2" s="1"/>
  <c r="AS66" i="2"/>
  <c r="AR66" i="2"/>
  <c r="AF66" i="2"/>
  <c r="AH66" i="2" s="1"/>
  <c r="AD66" i="2"/>
  <c r="AG66" i="2" s="1"/>
  <c r="AI66" i="2" s="1"/>
  <c r="AC66" i="2"/>
  <c r="S66" i="2"/>
  <c r="R66" i="2"/>
  <c r="T66" i="2" s="1"/>
  <c r="BG65" i="2"/>
  <c r="BE65" i="2"/>
  <c r="AS65" i="2"/>
  <c r="AV65" i="2" s="1"/>
  <c r="AX65" i="2" s="1"/>
  <c r="AR65" i="2"/>
  <c r="AU65" i="2" s="1"/>
  <c r="AW65" i="2" s="1"/>
  <c r="AG65" i="2"/>
  <c r="AI65" i="2" s="1"/>
  <c r="AF65" i="2"/>
  <c r="AH65" i="2" s="1"/>
  <c r="AD65" i="2"/>
  <c r="AC65" i="2"/>
  <c r="T65" i="2"/>
  <c r="S65" i="2"/>
  <c r="R65" i="2"/>
  <c r="BE64" i="2"/>
  <c r="BG64" i="2" s="1"/>
  <c r="AU64" i="2"/>
  <c r="AW64" i="2" s="1"/>
  <c r="AS64" i="2"/>
  <c r="AV64" i="2" s="1"/>
  <c r="AX64" i="2" s="1"/>
  <c r="AR64" i="2"/>
  <c r="AG64" i="2"/>
  <c r="AI64" i="2" s="1"/>
  <c r="AD64" i="2"/>
  <c r="AC64" i="2"/>
  <c r="AF64" i="2" s="1"/>
  <c r="AH64" i="2" s="1"/>
  <c r="S64" i="2"/>
  <c r="T64" i="2" s="1"/>
  <c r="R64" i="2"/>
  <c r="BG63" i="2"/>
  <c r="BE63" i="2"/>
  <c r="AU63" i="2"/>
  <c r="AW63" i="2" s="1"/>
  <c r="AS63" i="2"/>
  <c r="AV63" i="2" s="1"/>
  <c r="AX63" i="2" s="1"/>
  <c r="AR63" i="2"/>
  <c r="AD63" i="2"/>
  <c r="AG63" i="2" s="1"/>
  <c r="AI63" i="2" s="1"/>
  <c r="AC63" i="2"/>
  <c r="AF63" i="2" s="1"/>
  <c r="AH63" i="2" s="1"/>
  <c r="S63" i="2"/>
  <c r="R63" i="2"/>
  <c r="T63" i="2" s="1"/>
  <c r="BG62" i="2"/>
  <c r="BE62" i="2"/>
  <c r="AV62" i="2"/>
  <c r="AX62" i="2" s="1"/>
  <c r="AU62" i="2"/>
  <c r="AW62" i="2" s="1"/>
  <c r="AS62" i="2"/>
  <c r="AR62" i="2"/>
  <c r="AD62" i="2"/>
  <c r="AG62" i="2" s="1"/>
  <c r="AI62" i="2" s="1"/>
  <c r="AC62" i="2"/>
  <c r="AF62" i="2" s="1"/>
  <c r="AH62" i="2" s="1"/>
  <c r="S62" i="2"/>
  <c r="R62" i="2"/>
  <c r="T62" i="2" s="1"/>
  <c r="CB61" i="2"/>
  <c r="CA61" i="2"/>
  <c r="BG61" i="2"/>
  <c r="BE61" i="2"/>
  <c r="AW61" i="2"/>
  <c r="AV61" i="2"/>
  <c r="AX61" i="2" s="1"/>
  <c r="AS61" i="2"/>
  <c r="AR61" i="2"/>
  <c r="AU61" i="2" s="1"/>
  <c r="AG61" i="2"/>
  <c r="AI61" i="2" s="1"/>
  <c r="AD61" i="2"/>
  <c r="AC61" i="2"/>
  <c r="AF61" i="2" s="1"/>
  <c r="AH61" i="2" s="1"/>
  <c r="T61" i="2"/>
  <c r="S61" i="2"/>
  <c r="R61" i="2"/>
  <c r="CQ60" i="2"/>
  <c r="CP60" i="2"/>
  <c r="CB60" i="2"/>
  <c r="CA60" i="2"/>
  <c r="CC60" i="2" s="1"/>
  <c r="BG60" i="2"/>
  <c r="BE60" i="2"/>
  <c r="AV60" i="2"/>
  <c r="AX60" i="2" s="1"/>
  <c r="AS60" i="2"/>
  <c r="AR60" i="2"/>
  <c r="AU60" i="2" s="1"/>
  <c r="AW60" i="2" s="1"/>
  <c r="AF60" i="2"/>
  <c r="AH60" i="2" s="1"/>
  <c r="AD60" i="2"/>
  <c r="AG60" i="2" s="1"/>
  <c r="AI60" i="2" s="1"/>
  <c r="AC60" i="2"/>
  <c r="S60" i="2"/>
  <c r="R60" i="2"/>
  <c r="T60" i="2" s="1"/>
  <c r="CQ59" i="2"/>
  <c r="CP59" i="2"/>
  <c r="CR59" i="2" s="1"/>
  <c r="CC59" i="2"/>
  <c r="CB59" i="2"/>
  <c r="CA59" i="2"/>
  <c r="BE59" i="2"/>
  <c r="BG59" i="2" s="1"/>
  <c r="AV59" i="2"/>
  <c r="AX59" i="2" s="1"/>
  <c r="AU59" i="2"/>
  <c r="AW59" i="2" s="1"/>
  <c r="AS59" i="2"/>
  <c r="AR59" i="2"/>
  <c r="AD59" i="2"/>
  <c r="AG59" i="2" s="1"/>
  <c r="AI59" i="2" s="1"/>
  <c r="AC59" i="2"/>
  <c r="AF59" i="2" s="1"/>
  <c r="AH59" i="2" s="1"/>
  <c r="S59" i="2"/>
  <c r="R59" i="2"/>
  <c r="T59" i="2" s="1"/>
  <c r="CR58" i="2"/>
  <c r="CQ58" i="2"/>
  <c r="CP58" i="2"/>
  <c r="CB58" i="2"/>
  <c r="CC58" i="2" s="1"/>
  <c r="CA58" i="2"/>
  <c r="BE58" i="2"/>
  <c r="BG58" i="2" s="1"/>
  <c r="AU58" i="2"/>
  <c r="AW58" i="2" s="1"/>
  <c r="AS58" i="2"/>
  <c r="AV58" i="2" s="1"/>
  <c r="AX58" i="2" s="1"/>
  <c r="AR58" i="2"/>
  <c r="AG58" i="2"/>
  <c r="AI58" i="2" s="1"/>
  <c r="AD58" i="2"/>
  <c r="AC58" i="2"/>
  <c r="AF58" i="2" s="1"/>
  <c r="AH58" i="2" s="1"/>
  <c r="T58" i="2"/>
  <c r="S58" i="2"/>
  <c r="R58" i="2"/>
  <c r="CQ57" i="2"/>
  <c r="CR57" i="2" s="1"/>
  <c r="CP57" i="2"/>
  <c r="CB57" i="2"/>
  <c r="CA57" i="2"/>
  <c r="CC57" i="2" s="1"/>
  <c r="BE57" i="2"/>
  <c r="BG57" i="2" s="1"/>
  <c r="AS57" i="2"/>
  <c r="AV57" i="2" s="1"/>
  <c r="AX57" i="2" s="1"/>
  <c r="AR57" i="2"/>
  <c r="AU57" i="2" s="1"/>
  <c r="AW57" i="2" s="1"/>
  <c r="AG57" i="2"/>
  <c r="AI57" i="2" s="1"/>
  <c r="AF57" i="2"/>
  <c r="AH57" i="2" s="1"/>
  <c r="AD57" i="2"/>
  <c r="AC57" i="2"/>
  <c r="S57" i="2"/>
  <c r="T57" i="2" s="1"/>
  <c r="R57" i="2"/>
  <c r="F57" i="2"/>
  <c r="E57" i="2"/>
  <c r="F56" i="2"/>
  <c r="E56" i="2"/>
  <c r="CR54" i="2"/>
  <c r="CQ54" i="2"/>
  <c r="CP54" i="2"/>
  <c r="CB54" i="2"/>
  <c r="CC54" i="2" s="1"/>
  <c r="CA54" i="2"/>
  <c r="BE54" i="2"/>
  <c r="BG54" i="2" s="1"/>
  <c r="AU54" i="2"/>
  <c r="AW54" i="2" s="1"/>
  <c r="AS54" i="2"/>
  <c r="AV54" i="2" s="1"/>
  <c r="AX54" i="2" s="1"/>
  <c r="AR54" i="2"/>
  <c r="AG54" i="2"/>
  <c r="AI54" i="2" s="1"/>
  <c r="AD54" i="2"/>
  <c r="AC54" i="2"/>
  <c r="AF54" i="2" s="1"/>
  <c r="AH54" i="2" s="1"/>
  <c r="T54" i="2"/>
  <c r="S54" i="2"/>
  <c r="R54" i="2"/>
  <c r="CQ53" i="2"/>
  <c r="CR53" i="2" s="1"/>
  <c r="CP53" i="2"/>
  <c r="CB53" i="2"/>
  <c r="CB62" i="2" s="1"/>
  <c r="CA53" i="2"/>
  <c r="CC53" i="2" s="1"/>
  <c r="BE53" i="2"/>
  <c r="BG53" i="2" s="1"/>
  <c r="AW53" i="2"/>
  <c r="AS53" i="2"/>
  <c r="AV53" i="2" s="1"/>
  <c r="AX53" i="2" s="1"/>
  <c r="AR53" i="2"/>
  <c r="AU53" i="2" s="1"/>
  <c r="AG53" i="2"/>
  <c r="AI53" i="2" s="1"/>
  <c r="AF53" i="2"/>
  <c r="AH53" i="2" s="1"/>
  <c r="AD53" i="2"/>
  <c r="AC53" i="2"/>
  <c r="S53" i="2"/>
  <c r="T53" i="2" s="1"/>
  <c r="R53" i="2"/>
  <c r="CQ52" i="2"/>
  <c r="CP52" i="2"/>
  <c r="CR52" i="2" s="1"/>
  <c r="CC52" i="2"/>
  <c r="CC62" i="2" s="1"/>
  <c r="CB52" i="2"/>
  <c r="CA52" i="2"/>
  <c r="BE52" i="2"/>
  <c r="BG52" i="2" s="1"/>
  <c r="AV52" i="2"/>
  <c r="AX52" i="2" s="1"/>
  <c r="AU52" i="2"/>
  <c r="AW52" i="2" s="1"/>
  <c r="AS52" i="2"/>
  <c r="AR52" i="2"/>
  <c r="AD52" i="2"/>
  <c r="AG52" i="2" s="1"/>
  <c r="AI52" i="2" s="1"/>
  <c r="AC52" i="2"/>
  <c r="AF52" i="2" s="1"/>
  <c r="AH52" i="2" s="1"/>
  <c r="S52" i="2"/>
  <c r="R52" i="2"/>
  <c r="T52" i="2" s="1"/>
  <c r="CR51" i="2"/>
  <c r="CR61" i="2" s="1"/>
  <c r="CQ51" i="2"/>
  <c r="CQ61" i="2" s="1"/>
  <c r="CP51" i="2"/>
  <c r="BE51" i="2"/>
  <c r="BG51" i="2" s="1"/>
  <c r="AX51" i="2"/>
  <c r="AU51" i="2"/>
  <c r="AW51" i="2" s="1"/>
  <c r="AS51" i="2"/>
  <c r="AV51" i="2" s="1"/>
  <c r="AR51" i="2"/>
  <c r="AH51" i="2"/>
  <c r="AG51" i="2"/>
  <c r="AI51" i="2" s="1"/>
  <c r="AD51" i="2"/>
  <c r="AC51" i="2"/>
  <c r="AF51" i="2" s="1"/>
  <c r="T51" i="2"/>
  <c r="S51" i="2"/>
  <c r="R51" i="2"/>
  <c r="D51" i="2"/>
  <c r="BG50" i="2"/>
  <c r="BE50" i="2"/>
  <c r="AV50" i="2"/>
  <c r="AX50" i="2" s="1"/>
  <c r="AS50" i="2"/>
  <c r="AR50" i="2"/>
  <c r="AU50" i="2" s="1"/>
  <c r="AW50" i="2" s="1"/>
  <c r="AF50" i="2"/>
  <c r="AH50" i="2" s="1"/>
  <c r="AD50" i="2"/>
  <c r="AG50" i="2" s="1"/>
  <c r="AI50" i="2" s="1"/>
  <c r="AC50" i="2"/>
  <c r="S50" i="2"/>
  <c r="R50" i="2"/>
  <c r="T50" i="2" s="1"/>
  <c r="D50" i="2"/>
  <c r="BE49" i="2"/>
  <c r="BG49" i="2" s="1"/>
  <c r="AU49" i="2"/>
  <c r="AW49" i="2" s="1"/>
  <c r="AS49" i="2"/>
  <c r="AV49" i="2" s="1"/>
  <c r="AX49" i="2" s="1"/>
  <c r="AR49" i="2"/>
  <c r="AG49" i="2"/>
  <c r="AI49" i="2" s="1"/>
  <c r="AD49" i="2"/>
  <c r="AC49" i="2"/>
  <c r="AF49" i="2" s="1"/>
  <c r="AH49" i="2" s="1"/>
  <c r="T49" i="2"/>
  <c r="S49" i="2"/>
  <c r="R49" i="2"/>
  <c r="BE48" i="2"/>
  <c r="BG48" i="2" s="1"/>
  <c r="AX48" i="2"/>
  <c r="AS48" i="2"/>
  <c r="AV48" i="2" s="1"/>
  <c r="AR48" i="2"/>
  <c r="AU48" i="2" s="1"/>
  <c r="AW48" i="2" s="1"/>
  <c r="AG48" i="2"/>
  <c r="AI48" i="2" s="1"/>
  <c r="AF48" i="2"/>
  <c r="AH48" i="2" s="1"/>
  <c r="AD48" i="2"/>
  <c r="AC48" i="2"/>
  <c r="BE47" i="2"/>
  <c r="BG47" i="2" s="1"/>
  <c r="AX47" i="2"/>
  <c r="AU47" i="2"/>
  <c r="AW47" i="2" s="1"/>
  <c r="AS47" i="2"/>
  <c r="AV47" i="2" s="1"/>
  <c r="AR47" i="2"/>
  <c r="AH47" i="2"/>
  <c r="AG47" i="2"/>
  <c r="AI47" i="2" s="1"/>
  <c r="AD47" i="2"/>
  <c r="AC47" i="2"/>
  <c r="AF47" i="2" s="1"/>
  <c r="F47" i="2"/>
  <c r="BG46" i="2"/>
  <c r="BE46" i="2"/>
  <c r="AV46" i="2"/>
  <c r="AX46" i="2" s="1"/>
  <c r="AU46" i="2"/>
  <c r="AW46" i="2" s="1"/>
  <c r="AS46" i="2"/>
  <c r="AR46" i="2"/>
  <c r="AH46" i="2"/>
  <c r="AD46" i="2"/>
  <c r="AG46" i="2" s="1"/>
  <c r="AI46" i="2" s="1"/>
  <c r="AC46" i="2"/>
  <c r="AF46" i="2" s="1"/>
  <c r="BG45" i="2"/>
  <c r="BE45" i="2"/>
  <c r="AS45" i="2"/>
  <c r="AV45" i="2" s="1"/>
  <c r="AR45" i="2"/>
  <c r="AU45" i="2" s="1"/>
  <c r="AW45" i="2" s="1"/>
  <c r="AW80" i="2" s="1"/>
  <c r="AF45" i="2"/>
  <c r="AD45" i="2"/>
  <c r="AC45" i="2"/>
  <c r="BE44" i="2"/>
  <c r="BG44" i="2" s="1"/>
  <c r="D44" i="2"/>
  <c r="D43" i="2"/>
  <c r="CB41" i="2"/>
  <c r="BY41" i="2"/>
  <c r="CQ40" i="2"/>
  <c r="CN40" i="2"/>
  <c r="CA40" i="2"/>
  <c r="CB40" i="2" s="1"/>
  <c r="BY40" i="2"/>
  <c r="R40" i="2"/>
  <c r="F40" i="2"/>
  <c r="CP39" i="2"/>
  <c r="CQ39" i="2" s="1"/>
  <c r="CN39" i="2"/>
  <c r="BY39" i="2"/>
  <c r="CA39" i="2" s="1"/>
  <c r="CB39" i="2" s="1"/>
  <c r="S39" i="2"/>
  <c r="R39" i="2"/>
  <c r="CQ38" i="2"/>
  <c r="CP38" i="2"/>
  <c r="CN38" i="2"/>
  <c r="CA38" i="2"/>
  <c r="CB38" i="2" s="1"/>
  <c r="BY38" i="2"/>
  <c r="S38" i="2"/>
  <c r="S40" i="2" s="1"/>
  <c r="F17" i="2" s="1"/>
  <c r="R38" i="2"/>
  <c r="T38" i="2" s="1"/>
  <c r="CP37" i="2"/>
  <c r="CQ37" i="2" s="1"/>
  <c r="CN37" i="2"/>
  <c r="BY37" i="2"/>
  <c r="CA37" i="2" s="1"/>
  <c r="CB37" i="2" s="1"/>
  <c r="D37" i="2"/>
  <c r="CQ36" i="2"/>
  <c r="CP36" i="2"/>
  <c r="CN36" i="2"/>
  <c r="CA36" i="2"/>
  <c r="CB36" i="2" s="1"/>
  <c r="BY36" i="2"/>
  <c r="AS36" i="2"/>
  <c r="AP36" i="2"/>
  <c r="AD36" i="2"/>
  <c r="AA36" i="2"/>
  <c r="CN35" i="2"/>
  <c r="CP35" i="2" s="1"/>
  <c r="CQ35" i="2" s="1"/>
  <c r="CB35" i="2"/>
  <c r="CA35" i="2"/>
  <c r="BY35" i="2"/>
  <c r="BE35" i="2"/>
  <c r="BG35" i="2" s="1"/>
  <c r="AP35" i="2"/>
  <c r="AR35" i="2" s="1"/>
  <c r="AS35" i="2" s="1"/>
  <c r="AD35" i="2"/>
  <c r="AC35" i="2"/>
  <c r="AA35" i="2"/>
  <c r="CN34" i="2"/>
  <c r="CP34" i="2" s="1"/>
  <c r="CQ34" i="2" s="1"/>
  <c r="CB34" i="2"/>
  <c r="CA34" i="2"/>
  <c r="BY34" i="2"/>
  <c r="BE34" i="2"/>
  <c r="BG34" i="2" s="1"/>
  <c r="AP34" i="2"/>
  <c r="AR34" i="2" s="1"/>
  <c r="AS34" i="2" s="1"/>
  <c r="AD34" i="2"/>
  <c r="AC34" i="2"/>
  <c r="AA34" i="2"/>
  <c r="CN33" i="2"/>
  <c r="CP33" i="2" s="1"/>
  <c r="CQ33" i="2" s="1"/>
  <c r="CB33" i="2"/>
  <c r="CA33" i="2"/>
  <c r="BY33" i="2"/>
  <c r="BE33" i="2"/>
  <c r="BG33" i="2" s="1"/>
  <c r="AP33" i="2"/>
  <c r="AR33" i="2" s="1"/>
  <c r="AS33" i="2" s="1"/>
  <c r="AD33" i="2"/>
  <c r="AC33" i="2"/>
  <c r="AA33" i="2"/>
  <c r="CN32" i="2"/>
  <c r="CP32" i="2" s="1"/>
  <c r="CQ32" i="2" s="1"/>
  <c r="CB32" i="2"/>
  <c r="CA32" i="2"/>
  <c r="BY32" i="2"/>
  <c r="BE32" i="2"/>
  <c r="BG32" i="2" s="1"/>
  <c r="AS32" i="2"/>
  <c r="AR32" i="2"/>
  <c r="AP32" i="2"/>
  <c r="AC32" i="2"/>
  <c r="AD32" i="2" s="1"/>
  <c r="AA32" i="2"/>
  <c r="F32" i="2"/>
  <c r="CN31" i="2"/>
  <c r="CP31" i="2" s="1"/>
  <c r="CQ31" i="2" s="1"/>
  <c r="CB31" i="2"/>
  <c r="CA31" i="2"/>
  <c r="BY31" i="2"/>
  <c r="BE31" i="2"/>
  <c r="BG31" i="2" s="1"/>
  <c r="AP31" i="2"/>
  <c r="AR31" i="2" s="1"/>
  <c r="AS31" i="2" s="1"/>
  <c r="AD31" i="2"/>
  <c r="AC31" i="2"/>
  <c r="AA31" i="2"/>
  <c r="CN30" i="2"/>
  <c r="CP30" i="2" s="1"/>
  <c r="CQ30" i="2" s="1"/>
  <c r="BY30" i="2"/>
  <c r="CA30" i="2" s="1"/>
  <c r="CB30" i="2" s="1"/>
  <c r="BR30" i="2"/>
  <c r="BQ30" i="2"/>
  <c r="BP30" i="2"/>
  <c r="BE30" i="2"/>
  <c r="BG30" i="2" s="1"/>
  <c r="AP30" i="2"/>
  <c r="AR30" i="2" s="1"/>
  <c r="AS30" i="2" s="1"/>
  <c r="AD30" i="2"/>
  <c r="AC30" i="2"/>
  <c r="AA30" i="2"/>
  <c r="D30" i="2"/>
  <c r="CP29" i="2"/>
  <c r="CQ29" i="2" s="1"/>
  <c r="CN29" i="2"/>
  <c r="BY29" i="2"/>
  <c r="CA29" i="2" s="1"/>
  <c r="CB29" i="2" s="1"/>
  <c r="BR29" i="2"/>
  <c r="BQ29" i="2"/>
  <c r="BP29" i="2"/>
  <c r="BG29" i="2"/>
  <c r="BE29" i="2"/>
  <c r="AP29" i="2"/>
  <c r="AR29" i="2" s="1"/>
  <c r="AS29" i="2" s="1"/>
  <c r="AA29" i="2"/>
  <c r="AC29" i="2" s="1"/>
  <c r="AD29" i="2" s="1"/>
  <c r="T29" i="2"/>
  <c r="S29" i="2"/>
  <c r="R29" i="2"/>
  <c r="CN28" i="2"/>
  <c r="CP28" i="2" s="1"/>
  <c r="CQ28" i="2" s="1"/>
  <c r="BY28" i="2"/>
  <c r="CA28" i="2" s="1"/>
  <c r="CB28" i="2" s="1"/>
  <c r="BR28" i="2"/>
  <c r="BQ28" i="2"/>
  <c r="BP28" i="2"/>
  <c r="BE28" i="2"/>
  <c r="BG28" i="2" s="1"/>
  <c r="AP28" i="2"/>
  <c r="AR28" i="2" s="1"/>
  <c r="AS28" i="2" s="1"/>
  <c r="AD28" i="2"/>
  <c r="AC28" i="2"/>
  <c r="AA28" i="2"/>
  <c r="S28" i="2"/>
  <c r="R28" i="2"/>
  <c r="T28" i="2" s="1"/>
  <c r="CN27" i="2"/>
  <c r="CP27" i="2" s="1"/>
  <c r="CQ27" i="2" s="1"/>
  <c r="CB27" i="2"/>
  <c r="CA27" i="2"/>
  <c r="BY27" i="2"/>
  <c r="BQ27" i="2"/>
  <c r="BP27" i="2"/>
  <c r="BR27" i="2" s="1"/>
  <c r="BE27" i="2"/>
  <c r="BG27" i="2" s="1"/>
  <c r="AS27" i="2"/>
  <c r="AR27" i="2"/>
  <c r="AP27" i="2"/>
  <c r="AC27" i="2"/>
  <c r="AD27" i="2" s="1"/>
  <c r="AA27" i="2"/>
  <c r="S27" i="2"/>
  <c r="R27" i="2"/>
  <c r="T27" i="2" s="1"/>
  <c r="D27" i="2"/>
  <c r="CN26" i="2"/>
  <c r="CP26" i="2" s="1"/>
  <c r="CQ26" i="2" s="1"/>
  <c r="BY26" i="2"/>
  <c r="CA26" i="2" s="1"/>
  <c r="CB26" i="2" s="1"/>
  <c r="BR26" i="2"/>
  <c r="BQ26" i="2"/>
  <c r="BP26" i="2"/>
  <c r="BE26" i="2"/>
  <c r="BG26" i="2" s="1"/>
  <c r="AP26" i="2"/>
  <c r="AR26" i="2" s="1"/>
  <c r="AS26" i="2" s="1"/>
  <c r="AD26" i="2"/>
  <c r="AC26" i="2"/>
  <c r="AA26" i="2"/>
  <c r="S26" i="2"/>
  <c r="R26" i="2"/>
  <c r="T26" i="2" s="1"/>
  <c r="CQ25" i="2"/>
  <c r="CP25" i="2"/>
  <c r="CN25" i="2"/>
  <c r="CA25" i="2"/>
  <c r="CB25" i="2" s="1"/>
  <c r="BY25" i="2"/>
  <c r="BQ25" i="2"/>
  <c r="BP25" i="2"/>
  <c r="BR25" i="2" s="1"/>
  <c r="BG25" i="2"/>
  <c r="BE25" i="2"/>
  <c r="AR25" i="2"/>
  <c r="AS25" i="2" s="1"/>
  <c r="AP25" i="2"/>
  <c r="AA25" i="2"/>
  <c r="AC25" i="2" s="1"/>
  <c r="AD25" i="2" s="1"/>
  <c r="T25" i="2"/>
  <c r="S25" i="2"/>
  <c r="R25" i="2"/>
  <c r="CN24" i="2"/>
  <c r="CP24" i="2" s="1"/>
  <c r="CQ24" i="2" s="1"/>
  <c r="BY24" i="2"/>
  <c r="CA24" i="2" s="1"/>
  <c r="CB24" i="2" s="1"/>
  <c r="BR24" i="2"/>
  <c r="BQ24" i="2"/>
  <c r="BP24" i="2"/>
  <c r="BE24" i="2"/>
  <c r="BG24" i="2" s="1"/>
  <c r="AP24" i="2"/>
  <c r="AR24" i="2" s="1"/>
  <c r="AS24" i="2" s="1"/>
  <c r="AD24" i="2"/>
  <c r="AC24" i="2"/>
  <c r="AA24" i="2"/>
  <c r="S24" i="2"/>
  <c r="R24" i="2"/>
  <c r="T24" i="2" s="1"/>
  <c r="CQ23" i="2"/>
  <c r="CP23" i="2"/>
  <c r="CN23" i="2"/>
  <c r="CA23" i="2"/>
  <c r="CB23" i="2" s="1"/>
  <c r="BY23" i="2"/>
  <c r="BQ23" i="2"/>
  <c r="BP23" i="2"/>
  <c r="BR23" i="2" s="1"/>
  <c r="BG23" i="2"/>
  <c r="BE23" i="2"/>
  <c r="AR23" i="2"/>
  <c r="AS23" i="2" s="1"/>
  <c r="AP23" i="2"/>
  <c r="AA23" i="2"/>
  <c r="AC23" i="2" s="1"/>
  <c r="AD23" i="2" s="1"/>
  <c r="T23" i="2"/>
  <c r="S23" i="2"/>
  <c r="R23" i="2"/>
  <c r="CN22" i="2"/>
  <c r="CP22" i="2" s="1"/>
  <c r="CQ22" i="2" s="1"/>
  <c r="BY22" i="2"/>
  <c r="BY42" i="2" s="1"/>
  <c r="BR22" i="2"/>
  <c r="BQ22" i="2"/>
  <c r="BP22" i="2"/>
  <c r="BE22" i="2"/>
  <c r="BG22" i="2" s="1"/>
  <c r="AP22" i="2"/>
  <c r="AR22" i="2" s="1"/>
  <c r="AS22" i="2" s="1"/>
  <c r="AD22" i="2"/>
  <c r="AC22" i="2"/>
  <c r="AA22" i="2"/>
  <c r="S22" i="2"/>
  <c r="R22" i="2"/>
  <c r="T22" i="2" s="1"/>
  <c r="F22" i="2"/>
  <c r="CN21" i="2"/>
  <c r="CN41" i="2" s="1"/>
  <c r="BR21" i="2"/>
  <c r="BQ21" i="2"/>
  <c r="BP21" i="2"/>
  <c r="BE21" i="2"/>
  <c r="BG21" i="2" s="1"/>
  <c r="AP21" i="2"/>
  <c r="AR21" i="2" s="1"/>
  <c r="AS21" i="2" s="1"/>
  <c r="AD21" i="2"/>
  <c r="AC21" i="2"/>
  <c r="AA21" i="2"/>
  <c r="S21" i="2"/>
  <c r="R21" i="2"/>
  <c r="T21" i="2" s="1"/>
  <c r="BR20" i="2"/>
  <c r="BQ20" i="2"/>
  <c r="BP20" i="2"/>
  <c r="BE20" i="2"/>
  <c r="BG20" i="2" s="1"/>
  <c r="AP20" i="2"/>
  <c r="AR20" i="2" s="1"/>
  <c r="AS20" i="2" s="1"/>
  <c r="AD20" i="2"/>
  <c r="AC20" i="2"/>
  <c r="AA20" i="2"/>
  <c r="S20" i="2"/>
  <c r="R20" i="2"/>
  <c r="T20" i="2" s="1"/>
  <c r="BR19" i="2"/>
  <c r="BQ19" i="2"/>
  <c r="BP19" i="2"/>
  <c r="BG19" i="2"/>
  <c r="BE19" i="2"/>
  <c r="AP19" i="2"/>
  <c r="AR19" i="2" s="1"/>
  <c r="AS19" i="2" s="1"/>
  <c r="AA19" i="2"/>
  <c r="AC19" i="2" s="1"/>
  <c r="AD19" i="2" s="1"/>
  <c r="T19" i="2"/>
  <c r="S19" i="2"/>
  <c r="R19" i="2"/>
  <c r="BQ18" i="2"/>
  <c r="BP18" i="2"/>
  <c r="BR18" i="2" s="1"/>
  <c r="BG18" i="2"/>
  <c r="BE18" i="2"/>
  <c r="AR18" i="2"/>
  <c r="AS18" i="2" s="1"/>
  <c r="AS37" i="2" s="1"/>
  <c r="E31" i="2" s="1"/>
  <c r="AP18" i="2"/>
  <c r="AP37" i="2" s="1"/>
  <c r="AA18" i="2"/>
  <c r="AC18" i="2" s="1"/>
  <c r="AD18" i="2" s="1"/>
  <c r="T18" i="2"/>
  <c r="S18" i="2"/>
  <c r="R18" i="2"/>
  <c r="BQ17" i="2"/>
  <c r="BP17" i="2"/>
  <c r="BR17" i="2" s="1"/>
  <c r="BE17" i="2"/>
  <c r="BG17" i="2" s="1"/>
  <c r="AD17" i="2"/>
  <c r="AC17" i="2"/>
  <c r="AA17" i="2"/>
  <c r="S17" i="2"/>
  <c r="R17" i="2"/>
  <c r="T17" i="2" s="1"/>
  <c r="E17" i="2"/>
  <c r="D17" i="2"/>
  <c r="BR16" i="2"/>
  <c r="BQ16" i="2"/>
  <c r="BP16" i="2"/>
  <c r="BG16" i="2"/>
  <c r="BE16" i="2"/>
  <c r="AA16" i="2"/>
  <c r="AC16" i="2" s="1"/>
  <c r="AD16" i="2" s="1"/>
  <c r="T16" i="2"/>
  <c r="S16" i="2"/>
  <c r="R16" i="2"/>
  <c r="BR15" i="2"/>
  <c r="BQ15" i="2"/>
  <c r="BP15" i="2"/>
  <c r="BG15" i="2"/>
  <c r="BE15" i="2"/>
  <c r="AA15" i="2"/>
  <c r="AC15" i="2" s="1"/>
  <c r="AD15" i="2" s="1"/>
  <c r="F15" i="2"/>
  <c r="D15" i="2" s="1"/>
  <c r="E15" i="2"/>
  <c r="DA14" i="2"/>
  <c r="DA15" i="2" s="1"/>
  <c r="F49" i="2" s="1"/>
  <c r="D49" i="2" s="1"/>
  <c r="CX14" i="2"/>
  <c r="CU14" i="2"/>
  <c r="CB14" i="2"/>
  <c r="CA14" i="2"/>
  <c r="CC14" i="2" s="1"/>
  <c r="BR14" i="2"/>
  <c r="BQ14" i="2"/>
  <c r="BP14" i="2"/>
  <c r="BG14" i="2"/>
  <c r="BE14" i="2"/>
  <c r="AA14" i="2"/>
  <c r="AC14" i="2" s="1"/>
  <c r="AD14" i="2" s="1"/>
  <c r="DA13" i="2"/>
  <c r="CX13" i="2"/>
  <c r="CU13" i="2"/>
  <c r="CQ13" i="2"/>
  <c r="CP13" i="2"/>
  <c r="CR13" i="2" s="1"/>
  <c r="CB13" i="2"/>
  <c r="CA13" i="2"/>
  <c r="CC13" i="2" s="1"/>
  <c r="BR13" i="2"/>
  <c r="BQ13" i="2"/>
  <c r="BP13" i="2"/>
  <c r="BG13" i="2"/>
  <c r="BE13" i="2"/>
  <c r="AA13" i="2"/>
  <c r="AC13" i="2" s="1"/>
  <c r="AD13" i="2" s="1"/>
  <c r="T13" i="2"/>
  <c r="S13" i="2"/>
  <c r="R13" i="2"/>
  <c r="CU12" i="2"/>
  <c r="CU15" i="2" s="1"/>
  <c r="F21" i="2" s="1"/>
  <c r="D21" i="2" s="1"/>
  <c r="CQ12" i="2"/>
  <c r="CP12" i="2"/>
  <c r="CR12" i="2" s="1"/>
  <c r="CC12" i="2"/>
  <c r="CB12" i="2"/>
  <c r="CA12" i="2"/>
  <c r="BR12" i="2"/>
  <c r="BQ12" i="2"/>
  <c r="BP12" i="2"/>
  <c r="BE12" i="2"/>
  <c r="BG12" i="2" s="1"/>
  <c r="AA12" i="2"/>
  <c r="AC12" i="2" s="1"/>
  <c r="AD12" i="2" s="1"/>
  <c r="S12" i="2"/>
  <c r="R12" i="2"/>
  <c r="T12" i="2" s="1"/>
  <c r="CQ11" i="2"/>
  <c r="CP11" i="2"/>
  <c r="CR11" i="2" s="1"/>
  <c r="CB11" i="2"/>
  <c r="CA11" i="2"/>
  <c r="CC11" i="2" s="1"/>
  <c r="BR11" i="2"/>
  <c r="BQ11" i="2"/>
  <c r="BP11" i="2"/>
  <c r="BG11" i="2"/>
  <c r="BE11" i="2"/>
  <c r="AA11" i="2"/>
  <c r="AC11" i="2" s="1"/>
  <c r="AD11" i="2" s="1"/>
  <c r="S11" i="2"/>
  <c r="R11" i="2"/>
  <c r="T11" i="2" s="1"/>
  <c r="DA10" i="2"/>
  <c r="DA12" i="2" s="1"/>
  <c r="CX10" i="2"/>
  <c r="CX12" i="2" s="1"/>
  <c r="CX15" i="2" s="1"/>
  <c r="F42" i="2" s="1"/>
  <c r="D42" i="2" s="1"/>
  <c r="CU10" i="2"/>
  <c r="CQ10" i="2"/>
  <c r="CP10" i="2"/>
  <c r="CR10" i="2" s="1"/>
  <c r="CB10" i="2"/>
  <c r="CA10" i="2"/>
  <c r="CC10" i="2" s="1"/>
  <c r="BR10" i="2"/>
  <c r="BQ10" i="2"/>
  <c r="BP10" i="2"/>
  <c r="BG10" i="2"/>
  <c r="BE10" i="2"/>
  <c r="S10" i="2"/>
  <c r="R10" i="2"/>
  <c r="T10" i="2" s="1"/>
  <c r="CR9" i="2"/>
  <c r="CQ9" i="2"/>
  <c r="CP9" i="2"/>
  <c r="CC9" i="2"/>
  <c r="CB9" i="2"/>
  <c r="CA9" i="2"/>
  <c r="BQ9" i="2"/>
  <c r="BP9" i="2"/>
  <c r="BR9" i="2" s="1"/>
  <c r="BE9" i="2"/>
  <c r="BG9" i="2" s="1"/>
  <c r="T9" i="2"/>
  <c r="S9" i="2"/>
  <c r="R9" i="2"/>
  <c r="CQ8" i="2"/>
  <c r="CQ14" i="2" s="1"/>
  <c r="CP8" i="2"/>
  <c r="CR8" i="2" s="1"/>
  <c r="CB8" i="2"/>
  <c r="CB15" i="2" s="1"/>
  <c r="CA8" i="2"/>
  <c r="CA15" i="2" s="1"/>
  <c r="E46" i="2" s="1"/>
  <c r="BR8" i="2"/>
  <c r="BQ8" i="2"/>
  <c r="BP8" i="2"/>
  <c r="BG8" i="2"/>
  <c r="BE8" i="2"/>
  <c r="S8" i="2"/>
  <c r="R8" i="2"/>
  <c r="T8" i="2" s="1"/>
  <c r="CR7" i="2"/>
  <c r="CR14" i="2" s="1"/>
  <c r="CQ7" i="2"/>
  <c r="CP7" i="2"/>
  <c r="CP14" i="2" s="1"/>
  <c r="E39" i="2" s="1"/>
  <c r="BR7" i="2"/>
  <c r="BQ7" i="2"/>
  <c r="BP7" i="2"/>
  <c r="BE7" i="2"/>
  <c r="BG7" i="2" s="1"/>
  <c r="T7" i="2"/>
  <c r="S7" i="2"/>
  <c r="R7" i="2"/>
  <c r="BR6" i="2"/>
  <c r="BQ6" i="2"/>
  <c r="BQ32" i="2" s="1"/>
  <c r="F29" i="2" s="1"/>
  <c r="BP6" i="2"/>
  <c r="BP32" i="2" s="1"/>
  <c r="E29" i="2" s="1"/>
  <c r="BE6" i="2"/>
  <c r="BG6" i="2" s="1"/>
  <c r="T6" i="2"/>
  <c r="S6" i="2"/>
  <c r="S30" i="2" s="1"/>
  <c r="F14" i="2" s="1"/>
  <c r="R6" i="2"/>
  <c r="BG5" i="2"/>
  <c r="BE5" i="2"/>
  <c r="S98" i="1"/>
  <c r="R98" i="1"/>
  <c r="T98" i="1" s="1"/>
  <c r="T97" i="1"/>
  <c r="S97" i="1"/>
  <c r="R97" i="1"/>
  <c r="S96" i="1"/>
  <c r="R96" i="1"/>
  <c r="T96" i="1" s="1"/>
  <c r="S95" i="1"/>
  <c r="R95" i="1"/>
  <c r="T95" i="1" s="1"/>
  <c r="S94" i="1"/>
  <c r="R94" i="1"/>
  <c r="T94" i="1" s="1"/>
  <c r="T93" i="1"/>
  <c r="S93" i="1"/>
  <c r="R93" i="1"/>
  <c r="CU92" i="1"/>
  <c r="CQ92" i="1"/>
  <c r="CT92" i="1" s="1"/>
  <c r="CV92" i="1" s="1"/>
  <c r="CP92" i="1"/>
  <c r="CS92" i="1" s="1"/>
  <c r="S92" i="1"/>
  <c r="R92" i="1"/>
  <c r="T92" i="1" s="1"/>
  <c r="CS91" i="1"/>
  <c r="CU91" i="1" s="1"/>
  <c r="CQ91" i="1"/>
  <c r="CT91" i="1" s="1"/>
  <c r="CV91" i="1" s="1"/>
  <c r="CP91" i="1"/>
  <c r="CE91" i="1"/>
  <c r="CG91" i="1" s="1"/>
  <c r="CB91" i="1"/>
  <c r="CA91" i="1"/>
  <c r="CD91" i="1" s="1"/>
  <c r="CF91" i="1" s="1"/>
  <c r="T91" i="1"/>
  <c r="S91" i="1"/>
  <c r="R91" i="1"/>
  <c r="CU90" i="1"/>
  <c r="CQ90" i="1"/>
  <c r="CT90" i="1" s="1"/>
  <c r="CV90" i="1" s="1"/>
  <c r="CP90" i="1"/>
  <c r="CS90" i="1" s="1"/>
  <c r="CE90" i="1"/>
  <c r="CG90" i="1" s="1"/>
  <c r="CD90" i="1"/>
  <c r="CF90" i="1" s="1"/>
  <c r="CB90" i="1"/>
  <c r="CA90" i="1"/>
  <c r="S90" i="1"/>
  <c r="T90" i="1" s="1"/>
  <c r="R90" i="1"/>
  <c r="CT89" i="1"/>
  <c r="CV89" i="1" s="1"/>
  <c r="CQ89" i="1"/>
  <c r="CP89" i="1"/>
  <c r="CS89" i="1" s="1"/>
  <c r="CU89" i="1" s="1"/>
  <c r="CG89" i="1"/>
  <c r="CD89" i="1"/>
  <c r="CF89" i="1" s="1"/>
  <c r="CB89" i="1"/>
  <c r="CE89" i="1" s="1"/>
  <c r="CA89" i="1"/>
  <c r="S89" i="1"/>
  <c r="R89" i="1"/>
  <c r="T89" i="1" s="1"/>
  <c r="CT88" i="1"/>
  <c r="CV88" i="1" s="1"/>
  <c r="CS88" i="1"/>
  <c r="CU88" i="1" s="1"/>
  <c r="CQ88" i="1"/>
  <c r="CP88" i="1"/>
  <c r="CB88" i="1"/>
  <c r="CE88" i="1" s="1"/>
  <c r="CG88" i="1" s="1"/>
  <c r="CA88" i="1"/>
  <c r="CD88" i="1" s="1"/>
  <c r="CF88" i="1" s="1"/>
  <c r="CT87" i="1"/>
  <c r="CV87" i="1" s="1"/>
  <c r="CS87" i="1"/>
  <c r="CU87" i="1" s="1"/>
  <c r="CQ87" i="1"/>
  <c r="CP87" i="1"/>
  <c r="CB87" i="1"/>
  <c r="CE87" i="1" s="1"/>
  <c r="CG87" i="1" s="1"/>
  <c r="CA87" i="1"/>
  <c r="CD87" i="1" s="1"/>
  <c r="CF87" i="1" s="1"/>
  <c r="S87" i="1"/>
  <c r="R87" i="1"/>
  <c r="T87" i="1" s="1"/>
  <c r="CS86" i="1"/>
  <c r="CU86" i="1" s="1"/>
  <c r="CQ86" i="1"/>
  <c r="CT86" i="1" s="1"/>
  <c r="CV86" i="1" s="1"/>
  <c r="CP86" i="1"/>
  <c r="CE86" i="1"/>
  <c r="CG86" i="1" s="1"/>
  <c r="CB86" i="1"/>
  <c r="CA86" i="1"/>
  <c r="CD86" i="1" s="1"/>
  <c r="CF86" i="1" s="1"/>
  <c r="T86" i="1"/>
  <c r="S86" i="1"/>
  <c r="R86" i="1"/>
  <c r="R99" i="1" s="1"/>
  <c r="CU85" i="1"/>
  <c r="CQ85" i="1"/>
  <c r="CT85" i="1" s="1"/>
  <c r="CV85" i="1" s="1"/>
  <c r="CP85" i="1"/>
  <c r="CS85" i="1" s="1"/>
  <c r="CE85" i="1"/>
  <c r="CG85" i="1" s="1"/>
  <c r="CD85" i="1"/>
  <c r="CF85" i="1" s="1"/>
  <c r="CB85" i="1"/>
  <c r="CA85" i="1"/>
  <c r="S85" i="1"/>
  <c r="CT84" i="1"/>
  <c r="CV84" i="1" s="1"/>
  <c r="CS84" i="1"/>
  <c r="CU84" i="1" s="1"/>
  <c r="CQ84" i="1"/>
  <c r="CP84" i="1"/>
  <c r="CF84" i="1"/>
  <c r="CB84" i="1"/>
  <c r="CE84" i="1" s="1"/>
  <c r="CG84" i="1" s="1"/>
  <c r="CA84" i="1"/>
  <c r="CD84" i="1" s="1"/>
  <c r="CT83" i="1"/>
  <c r="CV83" i="1" s="1"/>
  <c r="CS83" i="1"/>
  <c r="CU83" i="1" s="1"/>
  <c r="CQ83" i="1"/>
  <c r="CP83" i="1"/>
  <c r="CF83" i="1"/>
  <c r="CB83" i="1"/>
  <c r="CE83" i="1" s="1"/>
  <c r="CG83" i="1" s="1"/>
  <c r="CA83" i="1"/>
  <c r="CD83" i="1" s="1"/>
  <c r="CT82" i="1"/>
  <c r="CV82" i="1" s="1"/>
  <c r="CS82" i="1"/>
  <c r="CU82" i="1" s="1"/>
  <c r="CQ82" i="1"/>
  <c r="CP82" i="1"/>
  <c r="CB82" i="1"/>
  <c r="CE82" i="1" s="1"/>
  <c r="CG82" i="1" s="1"/>
  <c r="CA82" i="1"/>
  <c r="CD82" i="1" s="1"/>
  <c r="CF82" i="1" s="1"/>
  <c r="CT81" i="1"/>
  <c r="CV81" i="1" s="1"/>
  <c r="CQ81" i="1"/>
  <c r="CP81" i="1"/>
  <c r="CS81" i="1" s="1"/>
  <c r="CU81" i="1" s="1"/>
  <c r="CG81" i="1"/>
  <c r="CD81" i="1"/>
  <c r="CF81" i="1" s="1"/>
  <c r="CB81" i="1"/>
  <c r="CE81" i="1" s="1"/>
  <c r="CA81" i="1"/>
  <c r="BE81" i="1"/>
  <c r="BG81" i="1" s="1"/>
  <c r="CS80" i="1"/>
  <c r="CU80" i="1" s="1"/>
  <c r="CQ80" i="1"/>
  <c r="CT80" i="1" s="1"/>
  <c r="CV80" i="1" s="1"/>
  <c r="CP80" i="1"/>
  <c r="CE80" i="1"/>
  <c r="CG80" i="1" s="1"/>
  <c r="CB80" i="1"/>
  <c r="CA80" i="1"/>
  <c r="CD80" i="1" s="1"/>
  <c r="CF80" i="1" s="1"/>
  <c r="BG80" i="1"/>
  <c r="BE80" i="1"/>
  <c r="CU79" i="1"/>
  <c r="CQ79" i="1"/>
  <c r="CT79" i="1" s="1"/>
  <c r="CV79" i="1" s="1"/>
  <c r="CP79" i="1"/>
  <c r="CS79" i="1" s="1"/>
  <c r="CE79" i="1"/>
  <c r="CG79" i="1" s="1"/>
  <c r="CD79" i="1"/>
  <c r="CF79" i="1" s="1"/>
  <c r="CB79" i="1"/>
  <c r="CA79" i="1"/>
  <c r="BE79" i="1"/>
  <c r="BG79" i="1" s="1"/>
  <c r="AV79" i="1"/>
  <c r="AX79" i="1" s="1"/>
  <c r="AU79" i="1"/>
  <c r="AW79" i="1" s="1"/>
  <c r="AS79" i="1"/>
  <c r="AR79" i="1"/>
  <c r="AH79" i="1"/>
  <c r="AD79" i="1"/>
  <c r="AG79" i="1" s="1"/>
  <c r="AI79" i="1" s="1"/>
  <c r="AC79" i="1"/>
  <c r="AF79" i="1" s="1"/>
  <c r="CT78" i="1"/>
  <c r="CV78" i="1" s="1"/>
  <c r="CS78" i="1"/>
  <c r="CU78" i="1" s="1"/>
  <c r="CQ78" i="1"/>
  <c r="CP78" i="1"/>
  <c r="CF78" i="1"/>
  <c r="CB78" i="1"/>
  <c r="CE78" i="1" s="1"/>
  <c r="CG78" i="1" s="1"/>
  <c r="CA78" i="1"/>
  <c r="CD78" i="1" s="1"/>
  <c r="BE78" i="1"/>
  <c r="BG78" i="1" s="1"/>
  <c r="AW78" i="1"/>
  <c r="AS78" i="1"/>
  <c r="AV78" i="1" s="1"/>
  <c r="AX78" i="1" s="1"/>
  <c r="AR78" i="1"/>
  <c r="AU78" i="1" s="1"/>
  <c r="AG78" i="1"/>
  <c r="AI78" i="1" s="1"/>
  <c r="AF78" i="1"/>
  <c r="AH78" i="1" s="1"/>
  <c r="AD78" i="1"/>
  <c r="AC78" i="1"/>
  <c r="CQ77" i="1"/>
  <c r="CT77" i="1" s="1"/>
  <c r="CV77" i="1" s="1"/>
  <c r="CP77" i="1"/>
  <c r="CS77" i="1" s="1"/>
  <c r="CU77" i="1" s="1"/>
  <c r="CE77" i="1"/>
  <c r="CG77" i="1" s="1"/>
  <c r="CD77" i="1"/>
  <c r="CF77" i="1" s="1"/>
  <c r="CB77" i="1"/>
  <c r="CA77" i="1"/>
  <c r="BE77" i="1"/>
  <c r="BG77" i="1" s="1"/>
  <c r="AV77" i="1"/>
  <c r="AX77" i="1" s="1"/>
  <c r="AU77" i="1"/>
  <c r="AW77" i="1" s="1"/>
  <c r="AS77" i="1"/>
  <c r="AR77" i="1"/>
  <c r="AD77" i="1"/>
  <c r="AG77" i="1" s="1"/>
  <c r="AI77" i="1" s="1"/>
  <c r="AC77" i="1"/>
  <c r="AF77" i="1" s="1"/>
  <c r="AH77" i="1" s="1"/>
  <c r="CS76" i="1"/>
  <c r="CU76" i="1" s="1"/>
  <c r="CQ76" i="1"/>
  <c r="CT76" i="1" s="1"/>
  <c r="CV76" i="1" s="1"/>
  <c r="CP76" i="1"/>
  <c r="CE76" i="1"/>
  <c r="CG76" i="1" s="1"/>
  <c r="CB76" i="1"/>
  <c r="CA76" i="1"/>
  <c r="CD76" i="1" s="1"/>
  <c r="CF76" i="1" s="1"/>
  <c r="BG76" i="1"/>
  <c r="BE76" i="1"/>
  <c r="AV76" i="1"/>
  <c r="AX76" i="1" s="1"/>
  <c r="AS76" i="1"/>
  <c r="AR76" i="1"/>
  <c r="AU76" i="1" s="1"/>
  <c r="AW76" i="1" s="1"/>
  <c r="AF76" i="1"/>
  <c r="AH76" i="1" s="1"/>
  <c r="AD76" i="1"/>
  <c r="AG76" i="1" s="1"/>
  <c r="AI76" i="1" s="1"/>
  <c r="AC76" i="1"/>
  <c r="S76" i="1"/>
  <c r="R76" i="1"/>
  <c r="T76" i="1" s="1"/>
  <c r="CT75" i="1"/>
  <c r="CV75" i="1" s="1"/>
  <c r="CS75" i="1"/>
  <c r="CU75" i="1" s="1"/>
  <c r="CQ75" i="1"/>
  <c r="CP75" i="1"/>
  <c r="CF75" i="1"/>
  <c r="CB75" i="1"/>
  <c r="CE75" i="1" s="1"/>
  <c r="CG75" i="1" s="1"/>
  <c r="CA75" i="1"/>
  <c r="CD75" i="1" s="1"/>
  <c r="BE75" i="1"/>
  <c r="BG75" i="1" s="1"/>
  <c r="AW75" i="1"/>
  <c r="AS75" i="1"/>
  <c r="AV75" i="1" s="1"/>
  <c r="AX75" i="1" s="1"/>
  <c r="AR75" i="1"/>
  <c r="AU75" i="1" s="1"/>
  <c r="AG75" i="1"/>
  <c r="AI75" i="1" s="1"/>
  <c r="AF75" i="1"/>
  <c r="AH75" i="1" s="1"/>
  <c r="AD75" i="1"/>
  <c r="AC75" i="1"/>
  <c r="S75" i="1"/>
  <c r="T75" i="1" s="1"/>
  <c r="R75" i="1"/>
  <c r="CT74" i="1"/>
  <c r="CV74" i="1" s="1"/>
  <c r="CQ74" i="1"/>
  <c r="CP74" i="1"/>
  <c r="CS74" i="1" s="1"/>
  <c r="CU74" i="1" s="1"/>
  <c r="CG74" i="1"/>
  <c r="CD74" i="1"/>
  <c r="CF74" i="1" s="1"/>
  <c r="CB74" i="1"/>
  <c r="CE74" i="1" s="1"/>
  <c r="CA74" i="1"/>
  <c r="BE74" i="1"/>
  <c r="BG74" i="1" s="1"/>
  <c r="AX74" i="1"/>
  <c r="AU74" i="1"/>
  <c r="AW74" i="1" s="1"/>
  <c r="AS74" i="1"/>
  <c r="AV74" i="1" s="1"/>
  <c r="AR74" i="1"/>
  <c r="AG74" i="1"/>
  <c r="AI74" i="1" s="1"/>
  <c r="AD74" i="1"/>
  <c r="AC74" i="1"/>
  <c r="AF74" i="1" s="1"/>
  <c r="AH74" i="1" s="1"/>
  <c r="T74" i="1"/>
  <c r="S74" i="1"/>
  <c r="R74" i="1"/>
  <c r="CQ73" i="1"/>
  <c r="CT73" i="1" s="1"/>
  <c r="CV73" i="1" s="1"/>
  <c r="CP73" i="1"/>
  <c r="CS73" i="1" s="1"/>
  <c r="CU73" i="1" s="1"/>
  <c r="CE73" i="1"/>
  <c r="CG73" i="1" s="1"/>
  <c r="CD73" i="1"/>
  <c r="CF73" i="1" s="1"/>
  <c r="CB73" i="1"/>
  <c r="CA73" i="1"/>
  <c r="BE73" i="1"/>
  <c r="BG73" i="1" s="1"/>
  <c r="AV73" i="1"/>
  <c r="AX73" i="1" s="1"/>
  <c r="AU73" i="1"/>
  <c r="AW73" i="1" s="1"/>
  <c r="AS73" i="1"/>
  <c r="AR73" i="1"/>
  <c r="AD73" i="1"/>
  <c r="AG73" i="1" s="1"/>
  <c r="AI73" i="1" s="1"/>
  <c r="AC73" i="1"/>
  <c r="AF73" i="1" s="1"/>
  <c r="AH73" i="1" s="1"/>
  <c r="S73" i="1"/>
  <c r="R73" i="1"/>
  <c r="T73" i="1" s="1"/>
  <c r="CV72" i="1"/>
  <c r="CS72" i="1"/>
  <c r="CS93" i="1" s="1"/>
  <c r="CQ72" i="1"/>
  <c r="CT72" i="1" s="1"/>
  <c r="CP72" i="1"/>
  <c r="CE72" i="1"/>
  <c r="CG72" i="1" s="1"/>
  <c r="CB72" i="1"/>
  <c r="CA72" i="1"/>
  <c r="CD72" i="1" s="1"/>
  <c r="CF72" i="1" s="1"/>
  <c r="BG72" i="1"/>
  <c r="BE72" i="1"/>
  <c r="AV72" i="1"/>
  <c r="AX72" i="1" s="1"/>
  <c r="AS72" i="1"/>
  <c r="AR72" i="1"/>
  <c r="AU72" i="1" s="1"/>
  <c r="AW72" i="1" s="1"/>
  <c r="AI72" i="1"/>
  <c r="AF72" i="1"/>
  <c r="AH72" i="1" s="1"/>
  <c r="AD72" i="1"/>
  <c r="AG72" i="1" s="1"/>
  <c r="AC72" i="1"/>
  <c r="S72" i="1"/>
  <c r="R72" i="1"/>
  <c r="T72" i="1" s="1"/>
  <c r="CE71" i="1"/>
  <c r="CD71" i="1"/>
  <c r="CF71" i="1" s="1"/>
  <c r="CB71" i="1"/>
  <c r="CA71" i="1"/>
  <c r="BE71" i="1"/>
  <c r="BG71" i="1" s="1"/>
  <c r="AV71" i="1"/>
  <c r="AX71" i="1" s="1"/>
  <c r="AU71" i="1"/>
  <c r="AW71" i="1" s="1"/>
  <c r="AS71" i="1"/>
  <c r="AR71" i="1"/>
  <c r="AD71" i="1"/>
  <c r="AG71" i="1" s="1"/>
  <c r="AI71" i="1" s="1"/>
  <c r="AC71" i="1"/>
  <c r="AF71" i="1" s="1"/>
  <c r="AH71" i="1" s="1"/>
  <c r="S71" i="1"/>
  <c r="R71" i="1"/>
  <c r="T71" i="1" s="1"/>
  <c r="BG70" i="1"/>
  <c r="BE70" i="1"/>
  <c r="AV70" i="1"/>
  <c r="AX70" i="1" s="1"/>
  <c r="AS70" i="1"/>
  <c r="AR70" i="1"/>
  <c r="AU70" i="1" s="1"/>
  <c r="AW70" i="1" s="1"/>
  <c r="AI70" i="1"/>
  <c r="AF70" i="1"/>
  <c r="AH70" i="1" s="1"/>
  <c r="AD70" i="1"/>
  <c r="AG70" i="1" s="1"/>
  <c r="AC70" i="1"/>
  <c r="S70" i="1"/>
  <c r="R70" i="1"/>
  <c r="T70" i="1" s="1"/>
  <c r="BE69" i="1"/>
  <c r="BG69" i="1" s="1"/>
  <c r="AW69" i="1"/>
  <c r="AS69" i="1"/>
  <c r="AV69" i="1" s="1"/>
  <c r="AX69" i="1" s="1"/>
  <c r="AR69" i="1"/>
  <c r="AU69" i="1" s="1"/>
  <c r="AG69" i="1"/>
  <c r="AI69" i="1" s="1"/>
  <c r="AF69" i="1"/>
  <c r="AH69" i="1" s="1"/>
  <c r="AD69" i="1"/>
  <c r="AC69" i="1"/>
  <c r="S69" i="1"/>
  <c r="T69" i="1" s="1"/>
  <c r="R69" i="1"/>
  <c r="BE68" i="1"/>
  <c r="BG68" i="1" s="1"/>
  <c r="AU68" i="1"/>
  <c r="AW68" i="1" s="1"/>
  <c r="AS68" i="1"/>
  <c r="AV68" i="1" s="1"/>
  <c r="AX68" i="1" s="1"/>
  <c r="AR68" i="1"/>
  <c r="AG68" i="1"/>
  <c r="AI68" i="1" s="1"/>
  <c r="AD68" i="1"/>
  <c r="AC68" i="1"/>
  <c r="AF68" i="1" s="1"/>
  <c r="AH68" i="1" s="1"/>
  <c r="T68" i="1"/>
  <c r="S68" i="1"/>
  <c r="R68" i="1"/>
  <c r="BE67" i="1"/>
  <c r="BG67" i="1" s="1"/>
  <c r="AV67" i="1"/>
  <c r="AX67" i="1" s="1"/>
  <c r="AU67" i="1"/>
  <c r="AW67" i="1" s="1"/>
  <c r="AS67" i="1"/>
  <c r="AR67" i="1"/>
  <c r="AH67" i="1"/>
  <c r="AD67" i="1"/>
  <c r="AG67" i="1" s="1"/>
  <c r="AI67" i="1" s="1"/>
  <c r="AC67" i="1"/>
  <c r="AF67" i="1" s="1"/>
  <c r="S67" i="1"/>
  <c r="R67" i="1"/>
  <c r="T67" i="1" s="1"/>
  <c r="BG66" i="1"/>
  <c r="BE66" i="1"/>
  <c r="AV66" i="1"/>
  <c r="AX66" i="1" s="1"/>
  <c r="AS66" i="1"/>
  <c r="AR66" i="1"/>
  <c r="AU66" i="1" s="1"/>
  <c r="AW66" i="1" s="1"/>
  <c r="AD66" i="1"/>
  <c r="AG66" i="1" s="1"/>
  <c r="AI66" i="1" s="1"/>
  <c r="AC66" i="1"/>
  <c r="AF66" i="1" s="1"/>
  <c r="AH66" i="1" s="1"/>
  <c r="T66" i="1"/>
  <c r="S66" i="1"/>
  <c r="R66" i="1"/>
  <c r="BE65" i="1"/>
  <c r="BG65" i="1" s="1"/>
  <c r="AV65" i="1"/>
  <c r="AX65" i="1" s="1"/>
  <c r="AU65" i="1"/>
  <c r="AW65" i="1" s="1"/>
  <c r="AS65" i="1"/>
  <c r="AR65" i="1"/>
  <c r="AD65" i="1"/>
  <c r="AG65" i="1" s="1"/>
  <c r="AI65" i="1" s="1"/>
  <c r="AC65" i="1"/>
  <c r="AF65" i="1" s="1"/>
  <c r="AH65" i="1" s="1"/>
  <c r="S65" i="1"/>
  <c r="R65" i="1"/>
  <c r="T65" i="1" s="1"/>
  <c r="BG64" i="1"/>
  <c r="BE64" i="1"/>
  <c r="AV64" i="1"/>
  <c r="AX64" i="1" s="1"/>
  <c r="AS64" i="1"/>
  <c r="AR64" i="1"/>
  <c r="AU64" i="1" s="1"/>
  <c r="AW64" i="1" s="1"/>
  <c r="AF64" i="1"/>
  <c r="AH64" i="1" s="1"/>
  <c r="AD64" i="1"/>
  <c r="AG64" i="1" s="1"/>
  <c r="AI64" i="1" s="1"/>
  <c r="AC64" i="1"/>
  <c r="S64" i="1"/>
  <c r="R64" i="1"/>
  <c r="T64" i="1" s="1"/>
  <c r="BE63" i="1"/>
  <c r="BG63" i="1" s="1"/>
  <c r="AS63" i="1"/>
  <c r="AV63" i="1" s="1"/>
  <c r="AX63" i="1" s="1"/>
  <c r="AR63" i="1"/>
  <c r="AU63" i="1" s="1"/>
  <c r="AW63" i="1" s="1"/>
  <c r="AG63" i="1"/>
  <c r="AI63" i="1" s="1"/>
  <c r="AF63" i="1"/>
  <c r="AH63" i="1" s="1"/>
  <c r="AD63" i="1"/>
  <c r="AC63" i="1"/>
  <c r="S63" i="1"/>
  <c r="T63" i="1" s="1"/>
  <c r="R63" i="1"/>
  <c r="BE62" i="1"/>
  <c r="BG62" i="1" s="1"/>
  <c r="AS62" i="1"/>
  <c r="AV62" i="1" s="1"/>
  <c r="AX62" i="1" s="1"/>
  <c r="AR62" i="1"/>
  <c r="AU62" i="1" s="1"/>
  <c r="AW62" i="1" s="1"/>
  <c r="AG62" i="1"/>
  <c r="AI62" i="1" s="1"/>
  <c r="AF62" i="1"/>
  <c r="AH62" i="1" s="1"/>
  <c r="AD62" i="1"/>
  <c r="AC62" i="1"/>
  <c r="S62" i="1"/>
  <c r="T62" i="1" s="1"/>
  <c r="R62" i="1"/>
  <c r="CB61" i="1"/>
  <c r="CA61" i="1"/>
  <c r="BE61" i="1"/>
  <c r="BG61" i="1" s="1"/>
  <c r="AV61" i="1"/>
  <c r="AX61" i="1" s="1"/>
  <c r="AU61" i="1"/>
  <c r="AW61" i="1" s="1"/>
  <c r="AS61" i="1"/>
  <c r="AR61" i="1"/>
  <c r="AD61" i="1"/>
  <c r="AG61" i="1" s="1"/>
  <c r="AI61" i="1" s="1"/>
  <c r="AC61" i="1"/>
  <c r="AF61" i="1" s="1"/>
  <c r="AH61" i="1" s="1"/>
  <c r="S61" i="1"/>
  <c r="R61" i="1"/>
  <c r="T61" i="1" s="1"/>
  <c r="CQ60" i="1"/>
  <c r="CP60" i="1"/>
  <c r="CB60" i="1"/>
  <c r="CA60" i="1"/>
  <c r="CC60" i="1" s="1"/>
  <c r="BE60" i="1"/>
  <c r="BG60" i="1" s="1"/>
  <c r="AS60" i="1"/>
  <c r="AV60" i="1" s="1"/>
  <c r="AX60" i="1" s="1"/>
  <c r="AR60" i="1"/>
  <c r="AU60" i="1" s="1"/>
  <c r="AW60" i="1" s="1"/>
  <c r="AG60" i="1"/>
  <c r="AI60" i="1" s="1"/>
  <c r="AF60" i="1"/>
  <c r="AH60" i="1" s="1"/>
  <c r="AD60" i="1"/>
  <c r="AC60" i="1"/>
  <c r="S60" i="1"/>
  <c r="T60" i="1" s="1"/>
  <c r="R60" i="1"/>
  <c r="CQ59" i="1"/>
  <c r="CP59" i="1"/>
  <c r="CR59" i="1" s="1"/>
  <c r="CB59" i="1"/>
  <c r="CA59" i="1"/>
  <c r="CC59" i="1" s="1"/>
  <c r="BG59" i="1"/>
  <c r="BE59" i="1"/>
  <c r="AV59" i="1"/>
  <c r="AX59" i="1" s="1"/>
  <c r="AS59" i="1"/>
  <c r="AR59" i="1"/>
  <c r="AU59" i="1" s="1"/>
  <c r="AW59" i="1" s="1"/>
  <c r="AF59" i="1"/>
  <c r="AH59" i="1" s="1"/>
  <c r="AD59" i="1"/>
  <c r="AG59" i="1" s="1"/>
  <c r="AI59" i="1" s="1"/>
  <c r="AC59" i="1"/>
  <c r="S59" i="1"/>
  <c r="R59" i="1"/>
  <c r="T59" i="1" s="1"/>
  <c r="CQ58" i="1"/>
  <c r="CP58" i="1"/>
  <c r="CR58" i="1" s="1"/>
  <c r="CC58" i="1"/>
  <c r="CB58" i="1"/>
  <c r="CA58" i="1"/>
  <c r="BE58" i="1"/>
  <c r="BG58" i="1" s="1"/>
  <c r="AV58" i="1"/>
  <c r="AX58" i="1" s="1"/>
  <c r="AU58" i="1"/>
  <c r="AW58" i="1" s="1"/>
  <c r="AS58" i="1"/>
  <c r="AR58" i="1"/>
  <c r="AD58" i="1"/>
  <c r="AG58" i="1" s="1"/>
  <c r="AI58" i="1" s="1"/>
  <c r="AC58" i="1"/>
  <c r="AF58" i="1" s="1"/>
  <c r="AH58" i="1" s="1"/>
  <c r="S58" i="1"/>
  <c r="R58" i="1"/>
  <c r="T58" i="1" s="1"/>
  <c r="CR57" i="1"/>
  <c r="CQ57" i="1"/>
  <c r="CP57" i="1"/>
  <c r="CB57" i="1"/>
  <c r="CC57" i="1" s="1"/>
  <c r="CA57" i="1"/>
  <c r="BE57" i="1"/>
  <c r="BG57" i="1" s="1"/>
  <c r="AU57" i="1"/>
  <c r="AW57" i="1" s="1"/>
  <c r="AS57" i="1"/>
  <c r="AV57" i="1" s="1"/>
  <c r="AX57" i="1" s="1"/>
  <c r="AR57" i="1"/>
  <c r="AG57" i="1"/>
  <c r="AI57" i="1" s="1"/>
  <c r="AD57" i="1"/>
  <c r="AC57" i="1"/>
  <c r="AF57" i="1" s="1"/>
  <c r="AH57" i="1" s="1"/>
  <c r="T57" i="1"/>
  <c r="S57" i="1"/>
  <c r="R57" i="1"/>
  <c r="F57" i="1"/>
  <c r="E57" i="1"/>
  <c r="F56" i="1"/>
  <c r="E56" i="1"/>
  <c r="CQ54" i="1"/>
  <c r="CP54" i="1"/>
  <c r="CR54" i="1" s="1"/>
  <c r="CC54" i="1"/>
  <c r="CB54" i="1"/>
  <c r="CA54" i="1"/>
  <c r="BG54" i="1"/>
  <c r="BE54" i="1"/>
  <c r="AV54" i="1"/>
  <c r="AX54" i="1" s="1"/>
  <c r="AU54" i="1"/>
  <c r="AW54" i="1" s="1"/>
  <c r="AS54" i="1"/>
  <c r="AR54" i="1"/>
  <c r="AI54" i="1"/>
  <c r="AD54" i="1"/>
  <c r="AG54" i="1" s="1"/>
  <c r="AC54" i="1"/>
  <c r="AF54" i="1" s="1"/>
  <c r="AH54" i="1" s="1"/>
  <c r="S54" i="1"/>
  <c r="R54" i="1"/>
  <c r="T54" i="1" s="1"/>
  <c r="CR53" i="1"/>
  <c r="CQ53" i="1"/>
  <c r="CP53" i="1"/>
  <c r="CB53" i="1"/>
  <c r="CC53" i="1" s="1"/>
  <c r="CA53" i="1"/>
  <c r="BE53" i="1"/>
  <c r="BG53" i="1" s="1"/>
  <c r="AU53" i="1"/>
  <c r="AW53" i="1" s="1"/>
  <c r="AS53" i="1"/>
  <c r="AV53" i="1" s="1"/>
  <c r="AX53" i="1" s="1"/>
  <c r="AR53" i="1"/>
  <c r="AG53" i="1"/>
  <c r="AI53" i="1" s="1"/>
  <c r="AD53" i="1"/>
  <c r="AC53" i="1"/>
  <c r="AF53" i="1" s="1"/>
  <c r="AH53" i="1" s="1"/>
  <c r="T53" i="1"/>
  <c r="S53" i="1"/>
  <c r="R53" i="1"/>
  <c r="CQ52" i="1"/>
  <c r="CP52" i="1"/>
  <c r="CB52" i="1"/>
  <c r="CB62" i="1" s="1"/>
  <c r="F47" i="1" s="1"/>
  <c r="CA52" i="1"/>
  <c r="BG52" i="1"/>
  <c r="BE52" i="1"/>
  <c r="AW52" i="1"/>
  <c r="AV52" i="1"/>
  <c r="AX52" i="1" s="1"/>
  <c r="AS52" i="1"/>
  <c r="AR52" i="1"/>
  <c r="AU52" i="1" s="1"/>
  <c r="AI52" i="1"/>
  <c r="AF52" i="1"/>
  <c r="AH52" i="1" s="1"/>
  <c r="AD52" i="1"/>
  <c r="AG52" i="1" s="1"/>
  <c r="AC52" i="1"/>
  <c r="S52" i="1"/>
  <c r="R52" i="1"/>
  <c r="CR51" i="1"/>
  <c r="CQ51" i="1"/>
  <c r="CQ61" i="1" s="1"/>
  <c r="F40" i="1" s="1"/>
  <c r="CP51" i="1"/>
  <c r="BE51" i="1"/>
  <c r="BG51" i="1" s="1"/>
  <c r="AV51" i="1"/>
  <c r="AX51" i="1" s="1"/>
  <c r="AU51" i="1"/>
  <c r="AW51" i="1" s="1"/>
  <c r="AS51" i="1"/>
  <c r="AR51" i="1"/>
  <c r="AI51" i="1"/>
  <c r="AH51" i="1"/>
  <c r="AD51" i="1"/>
  <c r="AG51" i="1" s="1"/>
  <c r="AC51" i="1"/>
  <c r="AF51" i="1" s="1"/>
  <c r="S51" i="1"/>
  <c r="R51" i="1"/>
  <c r="T51" i="1" s="1"/>
  <c r="D51" i="1"/>
  <c r="BE50" i="1"/>
  <c r="BG50" i="1" s="1"/>
  <c r="AX50" i="1"/>
  <c r="AW50" i="1"/>
  <c r="AS50" i="1"/>
  <c r="AV50" i="1" s="1"/>
  <c r="AR50" i="1"/>
  <c r="AU50" i="1" s="1"/>
  <c r="AG50" i="1"/>
  <c r="AI50" i="1" s="1"/>
  <c r="AF50" i="1"/>
  <c r="AH50" i="1" s="1"/>
  <c r="AD50" i="1"/>
  <c r="AC50" i="1"/>
  <c r="T50" i="1"/>
  <c r="S50" i="1"/>
  <c r="R50" i="1"/>
  <c r="D50" i="1"/>
  <c r="BG49" i="1"/>
  <c r="BE49" i="1"/>
  <c r="AV49" i="1"/>
  <c r="AX49" i="1" s="1"/>
  <c r="AU49" i="1"/>
  <c r="AW49" i="1" s="1"/>
  <c r="AS49" i="1"/>
  <c r="AR49" i="1"/>
  <c r="AD49" i="1"/>
  <c r="AG49" i="1" s="1"/>
  <c r="AI49" i="1" s="1"/>
  <c r="AC49" i="1"/>
  <c r="AF49" i="1" s="1"/>
  <c r="AH49" i="1" s="1"/>
  <c r="S49" i="1"/>
  <c r="R49" i="1"/>
  <c r="BE48" i="1"/>
  <c r="BG48" i="1" s="1"/>
  <c r="AU48" i="1"/>
  <c r="AW48" i="1" s="1"/>
  <c r="AS48" i="1"/>
  <c r="AV48" i="1" s="1"/>
  <c r="AX48" i="1" s="1"/>
  <c r="AR48" i="1"/>
  <c r="AG48" i="1"/>
  <c r="AI48" i="1" s="1"/>
  <c r="AD48" i="1"/>
  <c r="AC48" i="1"/>
  <c r="AF48" i="1" s="1"/>
  <c r="AH48" i="1" s="1"/>
  <c r="BE47" i="1"/>
  <c r="BG47" i="1" s="1"/>
  <c r="AV47" i="1"/>
  <c r="AX47" i="1" s="1"/>
  <c r="AU47" i="1"/>
  <c r="AW47" i="1" s="1"/>
  <c r="AS47" i="1"/>
  <c r="AR47" i="1"/>
  <c r="AI47" i="1"/>
  <c r="AD47" i="1"/>
  <c r="AG47" i="1" s="1"/>
  <c r="AC47" i="1"/>
  <c r="AF47" i="1" s="1"/>
  <c r="AH47" i="1" s="1"/>
  <c r="BG46" i="1"/>
  <c r="BE46" i="1"/>
  <c r="AW46" i="1"/>
  <c r="AV46" i="1"/>
  <c r="AX46" i="1" s="1"/>
  <c r="AS46" i="1"/>
  <c r="AR46" i="1"/>
  <c r="AU46" i="1" s="1"/>
  <c r="AI46" i="1"/>
  <c r="AF46" i="1"/>
  <c r="AH46" i="1" s="1"/>
  <c r="AD46" i="1"/>
  <c r="AG46" i="1" s="1"/>
  <c r="AC46" i="1"/>
  <c r="BE45" i="1"/>
  <c r="BG45" i="1" s="1"/>
  <c r="AW45" i="1"/>
  <c r="AW80" i="1" s="1"/>
  <c r="AS45" i="1"/>
  <c r="AV45" i="1" s="1"/>
  <c r="AX45" i="1" s="1"/>
  <c r="AR45" i="1"/>
  <c r="AU45" i="1" s="1"/>
  <c r="AG45" i="1"/>
  <c r="AF45" i="1"/>
  <c r="AD45" i="1"/>
  <c r="AC45" i="1"/>
  <c r="BE44" i="1"/>
  <c r="BG44" i="1" s="1"/>
  <c r="D44" i="1"/>
  <c r="D43" i="1"/>
  <c r="CB41" i="1"/>
  <c r="BY41" i="1"/>
  <c r="CQ40" i="1"/>
  <c r="CN40" i="1"/>
  <c r="CB40" i="1"/>
  <c r="CA40" i="1"/>
  <c r="BY40" i="1"/>
  <c r="R40" i="1"/>
  <c r="CN39" i="1"/>
  <c r="CP39" i="1" s="1"/>
  <c r="CQ39" i="1" s="1"/>
  <c r="CB39" i="1"/>
  <c r="CA39" i="1"/>
  <c r="BY39" i="1"/>
  <c r="S39" i="1"/>
  <c r="R39" i="1"/>
  <c r="CN38" i="1"/>
  <c r="CP38" i="1" s="1"/>
  <c r="CQ38" i="1" s="1"/>
  <c r="CB38" i="1"/>
  <c r="CA38" i="1"/>
  <c r="BY38" i="1"/>
  <c r="S38" i="1"/>
  <c r="S40" i="1" s="1"/>
  <c r="F17" i="1" s="1"/>
  <c r="R38" i="1"/>
  <c r="CN37" i="1"/>
  <c r="CP37" i="1" s="1"/>
  <c r="CQ37" i="1" s="1"/>
  <c r="CB37" i="1"/>
  <c r="CA37" i="1"/>
  <c r="BY37" i="1"/>
  <c r="D37" i="1"/>
  <c r="CP36" i="1"/>
  <c r="CQ36" i="1" s="1"/>
  <c r="CN36" i="1"/>
  <c r="BY36" i="1"/>
  <c r="CA36" i="1" s="1"/>
  <c r="CB36" i="1" s="1"/>
  <c r="AS36" i="1"/>
  <c r="AP36" i="1"/>
  <c r="AD36" i="1"/>
  <c r="AA36" i="1"/>
  <c r="CQ35" i="1"/>
  <c r="CN35" i="1"/>
  <c r="CP35" i="1" s="1"/>
  <c r="CA35" i="1"/>
  <c r="CB35" i="1" s="1"/>
  <c r="BY35" i="1"/>
  <c r="BE35" i="1"/>
  <c r="BG35" i="1" s="1"/>
  <c r="AP35" i="1"/>
  <c r="AR35" i="1" s="1"/>
  <c r="AS35" i="1" s="1"/>
  <c r="AD35" i="1"/>
  <c r="AC35" i="1"/>
  <c r="AA35" i="1"/>
  <c r="CQ34" i="1"/>
  <c r="CN34" i="1"/>
  <c r="CP34" i="1" s="1"/>
  <c r="CA34" i="1"/>
  <c r="CB34" i="1" s="1"/>
  <c r="BY34" i="1"/>
  <c r="BE34" i="1"/>
  <c r="BG34" i="1" s="1"/>
  <c r="AP34" i="1"/>
  <c r="AR34" i="1" s="1"/>
  <c r="AS34" i="1" s="1"/>
  <c r="AD34" i="1"/>
  <c r="AC34" i="1"/>
  <c r="AA34" i="1"/>
  <c r="CQ33" i="1"/>
  <c r="CN33" i="1"/>
  <c r="CP33" i="1" s="1"/>
  <c r="CA33" i="1"/>
  <c r="CB33" i="1" s="1"/>
  <c r="BY33" i="1"/>
  <c r="BE33" i="1"/>
  <c r="BG33" i="1" s="1"/>
  <c r="AP33" i="1"/>
  <c r="AR33" i="1" s="1"/>
  <c r="AS33" i="1" s="1"/>
  <c r="AD33" i="1"/>
  <c r="AC33" i="1"/>
  <c r="AA33" i="1"/>
  <c r="CQ32" i="1"/>
  <c r="CN32" i="1"/>
  <c r="CP32" i="1" s="1"/>
  <c r="CA32" i="1"/>
  <c r="CB32" i="1" s="1"/>
  <c r="BY32" i="1"/>
  <c r="BE32" i="1"/>
  <c r="BG32" i="1" s="1"/>
  <c r="AS32" i="1"/>
  <c r="AR32" i="1"/>
  <c r="AP32" i="1"/>
  <c r="AD32" i="1"/>
  <c r="AC32" i="1"/>
  <c r="AA32" i="1"/>
  <c r="F32" i="1"/>
  <c r="CQ31" i="1"/>
  <c r="CN31" i="1"/>
  <c r="CP31" i="1" s="1"/>
  <c r="CB31" i="1"/>
  <c r="CA31" i="1"/>
  <c r="BY31" i="1"/>
  <c r="BE31" i="1"/>
  <c r="BG31" i="1" s="1"/>
  <c r="AS31" i="1"/>
  <c r="AP31" i="1"/>
  <c r="AR31" i="1" s="1"/>
  <c r="AC31" i="1"/>
  <c r="AD31" i="1" s="1"/>
  <c r="AA31" i="1"/>
  <c r="CP30" i="1"/>
  <c r="CQ30" i="1" s="1"/>
  <c r="CN30" i="1"/>
  <c r="BY30" i="1"/>
  <c r="CA30" i="1" s="1"/>
  <c r="CB30" i="1" s="1"/>
  <c r="BR30" i="1"/>
  <c r="BQ30" i="1"/>
  <c r="BP30" i="1"/>
  <c r="BG30" i="1"/>
  <c r="BE30" i="1"/>
  <c r="AS30" i="1"/>
  <c r="AP30" i="1"/>
  <c r="AR30" i="1" s="1"/>
  <c r="AD30" i="1"/>
  <c r="AC30" i="1"/>
  <c r="AA30" i="1"/>
  <c r="D30" i="1"/>
  <c r="CP29" i="1"/>
  <c r="CQ29" i="1" s="1"/>
  <c r="CN29" i="1"/>
  <c r="CA29" i="1"/>
  <c r="CB29" i="1" s="1"/>
  <c r="BY29" i="1"/>
  <c r="BR29" i="1"/>
  <c r="BQ29" i="1"/>
  <c r="BP29" i="1"/>
  <c r="BE29" i="1"/>
  <c r="BG29" i="1" s="1"/>
  <c r="AR29" i="1"/>
  <c r="AS29" i="1" s="1"/>
  <c r="AP29" i="1"/>
  <c r="AA29" i="1"/>
  <c r="AC29" i="1" s="1"/>
  <c r="AD29" i="1" s="1"/>
  <c r="T29" i="1"/>
  <c r="S29" i="1"/>
  <c r="R29" i="1"/>
  <c r="CN28" i="1"/>
  <c r="CP28" i="1" s="1"/>
  <c r="CQ28" i="1" s="1"/>
  <c r="CB28" i="1"/>
  <c r="BY28" i="1"/>
  <c r="CA28" i="1" s="1"/>
  <c r="BQ28" i="1"/>
  <c r="BR28" i="1" s="1"/>
  <c r="BP28" i="1"/>
  <c r="BG28" i="1"/>
  <c r="BE28" i="1"/>
  <c r="AS28" i="1"/>
  <c r="AP28" i="1"/>
  <c r="AR28" i="1" s="1"/>
  <c r="AD28" i="1"/>
  <c r="AC28" i="1"/>
  <c r="AA28" i="1"/>
  <c r="T28" i="1"/>
  <c r="S28" i="1"/>
  <c r="R28" i="1"/>
  <c r="CQ27" i="1"/>
  <c r="CN27" i="1"/>
  <c r="CP27" i="1" s="1"/>
  <c r="CB27" i="1"/>
  <c r="CA27" i="1"/>
  <c r="BY27" i="1"/>
  <c r="BQ27" i="1"/>
  <c r="BP27" i="1"/>
  <c r="BR27" i="1" s="1"/>
  <c r="BE27" i="1"/>
  <c r="BG27" i="1" s="1"/>
  <c r="AR27" i="1"/>
  <c r="AS27" i="1" s="1"/>
  <c r="AP27" i="1"/>
  <c r="AA27" i="1"/>
  <c r="AC27" i="1" s="1"/>
  <c r="AD27" i="1" s="1"/>
  <c r="S27" i="1"/>
  <c r="R27" i="1"/>
  <c r="D27" i="1"/>
  <c r="CP26" i="1"/>
  <c r="CQ26" i="1" s="1"/>
  <c r="CN26" i="1"/>
  <c r="CB26" i="1"/>
  <c r="BY26" i="1"/>
  <c r="CA26" i="1" s="1"/>
  <c r="BR26" i="1"/>
  <c r="BQ26" i="1"/>
  <c r="BP26" i="1"/>
  <c r="BE26" i="1"/>
  <c r="BG26" i="1" s="1"/>
  <c r="AS26" i="1"/>
  <c r="AP26" i="1"/>
  <c r="AR26" i="1" s="1"/>
  <c r="AC26" i="1"/>
  <c r="AD26" i="1" s="1"/>
  <c r="AA26" i="1"/>
  <c r="S26" i="1"/>
  <c r="R26" i="1"/>
  <c r="T26" i="1" s="1"/>
  <c r="CQ25" i="1"/>
  <c r="CP25" i="1"/>
  <c r="CN25" i="1"/>
  <c r="CB25" i="1"/>
  <c r="CA25" i="1"/>
  <c r="BY25" i="1"/>
  <c r="BQ25" i="1"/>
  <c r="BP25" i="1"/>
  <c r="BG25" i="1"/>
  <c r="BE25" i="1"/>
  <c r="AS25" i="1"/>
  <c r="AR25" i="1"/>
  <c r="AP25" i="1"/>
  <c r="AA25" i="1"/>
  <c r="AC25" i="1" s="1"/>
  <c r="AD25" i="1" s="1"/>
  <c r="T25" i="1"/>
  <c r="S25" i="1"/>
  <c r="R25" i="1"/>
  <c r="CP24" i="1"/>
  <c r="CQ24" i="1" s="1"/>
  <c r="CN24" i="1"/>
  <c r="CB24" i="1"/>
  <c r="BY24" i="1"/>
  <c r="CA24" i="1" s="1"/>
  <c r="BR24" i="1"/>
  <c r="BQ24" i="1"/>
  <c r="BP24" i="1"/>
  <c r="BG24" i="1"/>
  <c r="BE24" i="1"/>
  <c r="AP24" i="1"/>
  <c r="AR24" i="1" s="1"/>
  <c r="AS24" i="1" s="1"/>
  <c r="AD24" i="1"/>
  <c r="AC24" i="1"/>
  <c r="AA24" i="1"/>
  <c r="T24" i="1"/>
  <c r="S24" i="1"/>
  <c r="R24" i="1"/>
  <c r="CQ23" i="1"/>
  <c r="CP23" i="1"/>
  <c r="CN23" i="1"/>
  <c r="CA23" i="1"/>
  <c r="CB23" i="1" s="1"/>
  <c r="BY23" i="1"/>
  <c r="BQ23" i="1"/>
  <c r="BP23" i="1"/>
  <c r="BG23" i="1"/>
  <c r="BE23" i="1"/>
  <c r="AP23" i="1"/>
  <c r="AR23" i="1" s="1"/>
  <c r="AS23" i="1" s="1"/>
  <c r="AC23" i="1"/>
  <c r="AD23" i="1" s="1"/>
  <c r="AA23" i="1"/>
  <c r="S23" i="1"/>
  <c r="R23" i="1"/>
  <c r="T23" i="1" s="1"/>
  <c r="CP22" i="1"/>
  <c r="CQ22" i="1" s="1"/>
  <c r="CN22" i="1"/>
  <c r="CB22" i="1"/>
  <c r="BY22" i="1"/>
  <c r="CA22" i="1" s="1"/>
  <c r="BR22" i="1"/>
  <c r="BQ22" i="1"/>
  <c r="BP22" i="1"/>
  <c r="BE22" i="1"/>
  <c r="BG22" i="1" s="1"/>
  <c r="AS22" i="1"/>
  <c r="AP22" i="1"/>
  <c r="AR22" i="1" s="1"/>
  <c r="AC22" i="1"/>
  <c r="AD22" i="1" s="1"/>
  <c r="AA22" i="1"/>
  <c r="S22" i="1"/>
  <c r="R22" i="1"/>
  <c r="T22" i="1" s="1"/>
  <c r="F22" i="1"/>
  <c r="CQ21" i="1"/>
  <c r="CN21" i="1"/>
  <c r="CP21" i="1" s="1"/>
  <c r="BR21" i="1"/>
  <c r="BQ21" i="1"/>
  <c r="BP21" i="1"/>
  <c r="BG21" i="1"/>
  <c r="BE21" i="1"/>
  <c r="AP21" i="1"/>
  <c r="AR21" i="1" s="1"/>
  <c r="AS21" i="1" s="1"/>
  <c r="AD21" i="1"/>
  <c r="AC21" i="1"/>
  <c r="AA21" i="1"/>
  <c r="T21" i="1"/>
  <c r="S21" i="1"/>
  <c r="R21" i="1"/>
  <c r="BR20" i="1"/>
  <c r="BQ20" i="1"/>
  <c r="BP20" i="1"/>
  <c r="BE20" i="1"/>
  <c r="BG20" i="1" s="1"/>
  <c r="AS20" i="1"/>
  <c r="AP20" i="1"/>
  <c r="AR20" i="1" s="1"/>
  <c r="AC20" i="1"/>
  <c r="AD20" i="1" s="1"/>
  <c r="AA20" i="1"/>
  <c r="S20" i="1"/>
  <c r="R20" i="1"/>
  <c r="T20" i="1" s="1"/>
  <c r="BQ19" i="1"/>
  <c r="BP19" i="1"/>
  <c r="BR19" i="1" s="1"/>
  <c r="BG19" i="1"/>
  <c r="BE19" i="1"/>
  <c r="AR19" i="1"/>
  <c r="AS19" i="1" s="1"/>
  <c r="AP19" i="1"/>
  <c r="AD19" i="1"/>
  <c r="AA19" i="1"/>
  <c r="AC19" i="1" s="1"/>
  <c r="T19" i="1"/>
  <c r="S19" i="1"/>
  <c r="R19" i="1"/>
  <c r="BQ18" i="1"/>
  <c r="BP18" i="1"/>
  <c r="BG18" i="1"/>
  <c r="BE18" i="1"/>
  <c r="AP18" i="1"/>
  <c r="AP37" i="1" s="1"/>
  <c r="AC18" i="1"/>
  <c r="AD18" i="1" s="1"/>
  <c r="AA18" i="1"/>
  <c r="S18" i="1"/>
  <c r="R18" i="1"/>
  <c r="T18" i="1" s="1"/>
  <c r="BR17" i="1"/>
  <c r="BQ17" i="1"/>
  <c r="BP17" i="1"/>
  <c r="BE17" i="1"/>
  <c r="BG17" i="1" s="1"/>
  <c r="AD17" i="1"/>
  <c r="AC17" i="1"/>
  <c r="AA17" i="1"/>
  <c r="S17" i="1"/>
  <c r="R17" i="1"/>
  <c r="T17" i="1" s="1"/>
  <c r="E17" i="1"/>
  <c r="D17" i="1"/>
  <c r="BR16" i="1"/>
  <c r="BQ16" i="1"/>
  <c r="BP16" i="1"/>
  <c r="BG16" i="1"/>
  <c r="BE16" i="1"/>
  <c r="AA16" i="1"/>
  <c r="AC16" i="1" s="1"/>
  <c r="AD16" i="1" s="1"/>
  <c r="T16" i="1"/>
  <c r="S16" i="1"/>
  <c r="R16" i="1"/>
  <c r="BR15" i="1"/>
  <c r="BQ15" i="1"/>
  <c r="BP15" i="1"/>
  <c r="BG15" i="1"/>
  <c r="BE15" i="1"/>
  <c r="AA15" i="1"/>
  <c r="AC15" i="1" s="1"/>
  <c r="AD15" i="1" s="1"/>
  <c r="E15" i="1"/>
  <c r="DA14" i="1"/>
  <c r="CX14" i="1"/>
  <c r="CU14" i="1"/>
  <c r="CB14" i="1"/>
  <c r="CA14" i="1"/>
  <c r="CC14" i="1" s="1"/>
  <c r="BR14" i="1"/>
  <c r="BQ14" i="1"/>
  <c r="BP14" i="1"/>
  <c r="BG14" i="1"/>
  <c r="BE14" i="1"/>
  <c r="AA14" i="1"/>
  <c r="AC14" i="1" s="1"/>
  <c r="AD14" i="1" s="1"/>
  <c r="DA13" i="1"/>
  <c r="CX13" i="1"/>
  <c r="CU13" i="1"/>
  <c r="CQ13" i="1"/>
  <c r="CP13" i="1"/>
  <c r="CR13" i="1" s="1"/>
  <c r="CB13" i="1"/>
  <c r="CA13" i="1"/>
  <c r="CC13" i="1" s="1"/>
  <c r="BR13" i="1"/>
  <c r="BQ13" i="1"/>
  <c r="BP13" i="1"/>
  <c r="BG13" i="1"/>
  <c r="BE13" i="1"/>
  <c r="AA13" i="1"/>
  <c r="AC13" i="1" s="1"/>
  <c r="AD13" i="1" s="1"/>
  <c r="S13" i="1"/>
  <c r="R13" i="1"/>
  <c r="CX12" i="1"/>
  <c r="CX15" i="1" s="1"/>
  <c r="F42" i="1" s="1"/>
  <c r="D42" i="1" s="1"/>
  <c r="CU12" i="1"/>
  <c r="CU15" i="1" s="1"/>
  <c r="F21" i="1" s="1"/>
  <c r="D21" i="1" s="1"/>
  <c r="CQ12" i="1"/>
  <c r="CP12" i="1"/>
  <c r="CR12" i="1" s="1"/>
  <c r="CC12" i="1"/>
  <c r="CB12" i="1"/>
  <c r="CA12" i="1"/>
  <c r="BR12" i="1"/>
  <c r="BQ12" i="1"/>
  <c r="BP12" i="1"/>
  <c r="BE12" i="1"/>
  <c r="BG12" i="1" s="1"/>
  <c r="AD12" i="1"/>
  <c r="AC12" i="1"/>
  <c r="AA12" i="1"/>
  <c r="T12" i="1"/>
  <c r="S12" i="1"/>
  <c r="R12" i="1"/>
  <c r="CQ11" i="1"/>
  <c r="CP11" i="1"/>
  <c r="CR11" i="1" s="1"/>
  <c r="CB11" i="1"/>
  <c r="CA11" i="1"/>
  <c r="CC11" i="1" s="1"/>
  <c r="BR11" i="1"/>
  <c r="BQ11" i="1"/>
  <c r="BP11" i="1"/>
  <c r="BG11" i="1"/>
  <c r="BE11" i="1"/>
  <c r="AA11" i="1"/>
  <c r="AA37" i="1" s="1"/>
  <c r="S11" i="1"/>
  <c r="R11" i="1"/>
  <c r="T11" i="1" s="1"/>
  <c r="DA10" i="1"/>
  <c r="DA12" i="1" s="1"/>
  <c r="CX10" i="1"/>
  <c r="CU10" i="1"/>
  <c r="CQ10" i="1"/>
  <c r="CP10" i="1"/>
  <c r="CR10" i="1" s="1"/>
  <c r="CB10" i="1"/>
  <c r="CA10" i="1"/>
  <c r="CC10" i="1" s="1"/>
  <c r="BR10" i="1"/>
  <c r="BQ10" i="1"/>
  <c r="BP10" i="1"/>
  <c r="BG10" i="1"/>
  <c r="BE10" i="1"/>
  <c r="S10" i="1"/>
  <c r="R10" i="1"/>
  <c r="CR9" i="1"/>
  <c r="CQ9" i="1"/>
  <c r="CP9" i="1"/>
  <c r="CC9" i="1"/>
  <c r="CB9" i="1"/>
  <c r="CA9" i="1"/>
  <c r="BQ9" i="1"/>
  <c r="BP9" i="1"/>
  <c r="BR9" i="1" s="1"/>
  <c r="BG9" i="1"/>
  <c r="BE9" i="1"/>
  <c r="T9" i="1"/>
  <c r="S9" i="1"/>
  <c r="R9" i="1"/>
  <c r="CQ8" i="1"/>
  <c r="CQ14" i="1" s="1"/>
  <c r="CP8" i="1"/>
  <c r="CP14" i="1" s="1"/>
  <c r="E39" i="1" s="1"/>
  <c r="CB8" i="1"/>
  <c r="CB15" i="1" s="1"/>
  <c r="CA8" i="1"/>
  <c r="CC8" i="1" s="1"/>
  <c r="BR8" i="1"/>
  <c r="BQ8" i="1"/>
  <c r="BP8" i="1"/>
  <c r="BG8" i="1"/>
  <c r="BE8" i="1"/>
  <c r="S8" i="1"/>
  <c r="R8" i="1"/>
  <c r="CR7" i="1"/>
  <c r="CQ7" i="1"/>
  <c r="CP7" i="1"/>
  <c r="BR7" i="1"/>
  <c r="BQ7" i="1"/>
  <c r="BP7" i="1"/>
  <c r="BE7" i="1"/>
  <c r="BG7" i="1" s="1"/>
  <c r="S7" i="1"/>
  <c r="T7" i="1" s="1"/>
  <c r="R7" i="1"/>
  <c r="BR6" i="1"/>
  <c r="BQ6" i="1"/>
  <c r="BQ32" i="1" s="1"/>
  <c r="F29" i="1" s="1"/>
  <c r="BP6" i="1"/>
  <c r="BP32" i="1" s="1"/>
  <c r="E29" i="1" s="1"/>
  <c r="BE6" i="1"/>
  <c r="BG6" i="1" s="1"/>
  <c r="S6" i="1"/>
  <c r="R6" i="1"/>
  <c r="BG5" i="1"/>
  <c r="BE5" i="1"/>
  <c r="T85" i="3" l="1"/>
  <c r="S77" i="3"/>
  <c r="F16" i="3" s="1"/>
  <c r="S30" i="3"/>
  <c r="F14" i="3" s="1"/>
  <c r="T11" i="3"/>
  <c r="T7" i="3"/>
  <c r="T30" i="3" s="1"/>
  <c r="AS37" i="3"/>
  <c r="F39" i="3"/>
  <c r="F46" i="3"/>
  <c r="BQ32" i="3"/>
  <c r="F29" i="3" s="1"/>
  <c r="CC11" i="3"/>
  <c r="AP37" i="3"/>
  <c r="BG82" i="3"/>
  <c r="E33" i="3" s="1"/>
  <c r="CR61" i="3"/>
  <c r="D29" i="3"/>
  <c r="BG36" i="3"/>
  <c r="E23" i="3" s="1"/>
  <c r="BR6" i="3"/>
  <c r="CC15" i="3"/>
  <c r="AA37" i="3"/>
  <c r="BY42" i="3"/>
  <c r="CA22" i="3"/>
  <c r="CB22" i="3" s="1"/>
  <c r="CB42" i="3" s="1"/>
  <c r="AW80" i="3"/>
  <c r="R30" i="3"/>
  <c r="E14" i="3" s="1"/>
  <c r="CP14" i="3"/>
  <c r="E39" i="3" s="1"/>
  <c r="CC10" i="3"/>
  <c r="AC11" i="3"/>
  <c r="AD11" i="3" s="1"/>
  <c r="AD37" i="3" s="1"/>
  <c r="E20" i="3" s="1"/>
  <c r="CR12" i="3"/>
  <c r="CR14" i="3" s="1"/>
  <c r="CC14" i="3"/>
  <c r="CA15" i="3"/>
  <c r="E46" i="3" s="1"/>
  <c r="CN41" i="3"/>
  <c r="CP21" i="3"/>
  <c r="CQ21" i="3" s="1"/>
  <c r="CQ41" i="3" s="1"/>
  <c r="BR25" i="3"/>
  <c r="T40" i="3"/>
  <c r="AV80" i="3"/>
  <c r="AX45" i="3"/>
  <c r="AX80" i="3" s="1"/>
  <c r="F31" i="3" s="1"/>
  <c r="CD92" i="3"/>
  <c r="CF71" i="3"/>
  <c r="CF92" i="3" s="1"/>
  <c r="CT93" i="3"/>
  <c r="CV72" i="3"/>
  <c r="CV93" i="3" s="1"/>
  <c r="F41" i="3" s="1"/>
  <c r="AF80" i="3"/>
  <c r="AH45" i="3"/>
  <c r="AH80" i="3" s="1"/>
  <c r="CB62" i="3"/>
  <c r="F47" i="3" s="1"/>
  <c r="CC57" i="3"/>
  <c r="CC62" i="3" s="1"/>
  <c r="CA62" i="3"/>
  <c r="E47" i="3" s="1"/>
  <c r="AG80" i="3"/>
  <c r="AI45" i="3"/>
  <c r="AI80" i="3" s="1"/>
  <c r="F20" i="3" s="1"/>
  <c r="F19" i="3" s="1"/>
  <c r="R77" i="3"/>
  <c r="E16" i="3" s="1"/>
  <c r="D16" i="3" s="1"/>
  <c r="T49" i="3"/>
  <c r="CP61" i="3"/>
  <c r="E40" i="3" s="1"/>
  <c r="D40" i="3" s="1"/>
  <c r="T63" i="3"/>
  <c r="T72" i="3"/>
  <c r="AU80" i="3"/>
  <c r="T62" i="3"/>
  <c r="CE92" i="3"/>
  <c r="CG71" i="3"/>
  <c r="CG92" i="3" s="1"/>
  <c r="F48" i="3" s="1"/>
  <c r="CS93" i="3"/>
  <c r="CU72" i="3"/>
  <c r="CU93" i="3" s="1"/>
  <c r="T86" i="3"/>
  <c r="T99" i="3" s="1"/>
  <c r="R30" i="2"/>
  <c r="E14" i="2" s="1"/>
  <c r="D14" i="2" s="1"/>
  <c r="AD37" i="2"/>
  <c r="T30" i="2"/>
  <c r="BR32" i="2"/>
  <c r="BG36" i="2"/>
  <c r="E23" i="2" s="1"/>
  <c r="E28" i="2"/>
  <c r="D29" i="2"/>
  <c r="D46" i="2"/>
  <c r="F13" i="2"/>
  <c r="F46" i="2"/>
  <c r="F39" i="2"/>
  <c r="D39" i="2" s="1"/>
  <c r="AV80" i="2"/>
  <c r="AX45" i="2"/>
  <c r="AX80" i="2" s="1"/>
  <c r="F31" i="2" s="1"/>
  <c r="F28" i="2" s="1"/>
  <c r="CC8" i="2"/>
  <c r="CC15" i="2" s="1"/>
  <c r="CP21" i="2"/>
  <c r="CQ21" i="2" s="1"/>
  <c r="CQ41" i="2" s="1"/>
  <c r="CA22" i="2"/>
  <c r="CB22" i="2" s="1"/>
  <c r="CB42" i="2" s="1"/>
  <c r="AA37" i="2"/>
  <c r="BG82" i="2"/>
  <c r="E33" i="2" s="1"/>
  <c r="T77" i="2"/>
  <c r="CS93" i="2"/>
  <c r="CU72" i="2"/>
  <c r="CU93" i="2" s="1"/>
  <c r="T39" i="2"/>
  <c r="AD80" i="2"/>
  <c r="AU80" i="2"/>
  <c r="CE92" i="2"/>
  <c r="CG71" i="2"/>
  <c r="CG92" i="2" s="1"/>
  <c r="F48" i="2" s="1"/>
  <c r="AF80" i="2"/>
  <c r="AH45" i="2"/>
  <c r="AH80" i="2" s="1"/>
  <c r="T40" i="2"/>
  <c r="AG45" i="2"/>
  <c r="S77" i="2"/>
  <c r="F16" i="2" s="1"/>
  <c r="CP61" i="2"/>
  <c r="E40" i="2" s="1"/>
  <c r="D40" i="2" s="1"/>
  <c r="CF92" i="2"/>
  <c r="R77" i="2"/>
  <c r="E16" i="2" s="1"/>
  <c r="CA62" i="2"/>
  <c r="E47" i="2" s="1"/>
  <c r="D47" i="2" s="1"/>
  <c r="CT93" i="2"/>
  <c r="CV72" i="2"/>
  <c r="CV93" i="2" s="1"/>
  <c r="F41" i="2" s="1"/>
  <c r="T86" i="2"/>
  <c r="T99" i="2" s="1"/>
  <c r="CD92" i="2"/>
  <c r="T13" i="1"/>
  <c r="R30" i="1"/>
  <c r="E14" i="1" s="1"/>
  <c r="T10" i="1"/>
  <c r="T8" i="1"/>
  <c r="T6" i="1"/>
  <c r="S30" i="1"/>
  <c r="F14" i="1" s="1"/>
  <c r="D14" i="1" s="1"/>
  <c r="DA15" i="1"/>
  <c r="F49" i="1" s="1"/>
  <c r="D49" i="1" s="1"/>
  <c r="D39" i="1"/>
  <c r="D29" i="1"/>
  <c r="CR14" i="1"/>
  <c r="CC15" i="1"/>
  <c r="F39" i="1"/>
  <c r="F46" i="1"/>
  <c r="AX80" i="1"/>
  <c r="F31" i="1" s="1"/>
  <c r="F28" i="1" s="1"/>
  <c r="BG36" i="1"/>
  <c r="E23" i="1" s="1"/>
  <c r="CR8" i="1"/>
  <c r="AC11" i="1"/>
  <c r="AD11" i="1" s="1"/>
  <c r="AD37" i="1" s="1"/>
  <c r="E20" i="1" s="1"/>
  <c r="AR18" i="1"/>
  <c r="AS18" i="1" s="1"/>
  <c r="AS37" i="1" s="1"/>
  <c r="E31" i="1" s="1"/>
  <c r="D31" i="1" s="1"/>
  <c r="BR18" i="1"/>
  <c r="BR23" i="1"/>
  <c r="AI45" i="1"/>
  <c r="AI80" i="1" s="1"/>
  <c r="F20" i="1" s="1"/>
  <c r="F19" i="1" s="1"/>
  <c r="AG80" i="1"/>
  <c r="R77" i="1"/>
  <c r="E16" i="1" s="1"/>
  <c r="T49" i="1"/>
  <c r="CR52" i="1"/>
  <c r="CR61" i="1" s="1"/>
  <c r="CP61" i="1"/>
  <c r="E40" i="1" s="1"/>
  <c r="D40" i="1" s="1"/>
  <c r="CA15" i="1"/>
  <c r="E46" i="1" s="1"/>
  <c r="BY42" i="1"/>
  <c r="AF80" i="1"/>
  <c r="AH45" i="1"/>
  <c r="AH80" i="1" s="1"/>
  <c r="CB42" i="1"/>
  <c r="T27" i="1"/>
  <c r="CN41" i="1"/>
  <c r="AU80" i="1"/>
  <c r="CV93" i="1"/>
  <c r="F41" i="1" s="1"/>
  <c r="BR32" i="1"/>
  <c r="CQ41" i="1"/>
  <c r="E41" i="1" s="1"/>
  <c r="BR25" i="1"/>
  <c r="T38" i="1"/>
  <c r="T39" i="1"/>
  <c r="BG82" i="1"/>
  <c r="E33" i="1" s="1"/>
  <c r="AV80" i="1"/>
  <c r="T52" i="1"/>
  <c r="CC52" i="1"/>
  <c r="CC62" i="1" s="1"/>
  <c r="CA62" i="1"/>
  <c r="E47" i="1" s="1"/>
  <c r="D47" i="1" s="1"/>
  <c r="S99" i="1"/>
  <c r="F15" i="1" s="1"/>
  <c r="T85" i="1"/>
  <c r="T99" i="1" s="1"/>
  <c r="CD92" i="1"/>
  <c r="S77" i="1"/>
  <c r="F16" i="1" s="1"/>
  <c r="CF92" i="1"/>
  <c r="AD80" i="1"/>
  <c r="CE92" i="1"/>
  <c r="CT93" i="1"/>
  <c r="CG71" i="1"/>
  <c r="CG92" i="1" s="1"/>
  <c r="F48" i="1" s="1"/>
  <c r="CU72" i="1"/>
  <c r="CU93" i="1" s="1"/>
  <c r="F13" i="3" l="1"/>
  <c r="D46" i="3"/>
  <c r="E48" i="3"/>
  <c r="D48" i="3" s="1"/>
  <c r="BR32" i="3"/>
  <c r="F28" i="3"/>
  <c r="F38" i="3"/>
  <c r="T77" i="3"/>
  <c r="D47" i="3"/>
  <c r="D39" i="3"/>
  <c r="E25" i="3"/>
  <c r="D25" i="3" s="1"/>
  <c r="D23" i="3"/>
  <c r="E24" i="3"/>
  <c r="D24" i="3" s="1"/>
  <c r="E34" i="3"/>
  <c r="D34" i="3" s="1"/>
  <c r="D33" i="3"/>
  <c r="E35" i="3"/>
  <c r="D35" i="3" s="1"/>
  <c r="E31" i="3"/>
  <c r="D20" i="3"/>
  <c r="E19" i="3"/>
  <c r="F45" i="3"/>
  <c r="E41" i="3"/>
  <c r="D41" i="3" s="1"/>
  <c r="D14" i="3"/>
  <c r="E13" i="3"/>
  <c r="D16" i="2"/>
  <c r="AG80" i="2"/>
  <c r="AI45" i="2"/>
  <c r="AI80" i="2" s="1"/>
  <c r="F20" i="2" s="1"/>
  <c r="F19" i="2" s="1"/>
  <c r="E34" i="2"/>
  <c r="D34" i="2" s="1"/>
  <c r="D33" i="2"/>
  <c r="F45" i="2"/>
  <c r="E20" i="2"/>
  <c r="E48" i="2"/>
  <c r="D48" i="2" s="1"/>
  <c r="D31" i="2"/>
  <c r="D28" i="2"/>
  <c r="E13" i="2"/>
  <c r="E41" i="2"/>
  <c r="F38" i="2"/>
  <c r="D23" i="2"/>
  <c r="E24" i="2"/>
  <c r="D24" i="2" s="1"/>
  <c r="T30" i="1"/>
  <c r="D41" i="1"/>
  <c r="F13" i="1"/>
  <c r="E19" i="1"/>
  <c r="D20" i="1"/>
  <c r="F45" i="1"/>
  <c r="D15" i="1"/>
  <c r="E38" i="1"/>
  <c r="E36" i="1"/>
  <c r="D36" i="1" s="1"/>
  <c r="E35" i="1"/>
  <c r="D35" i="1" s="1"/>
  <c r="E34" i="1"/>
  <c r="D34" i="1" s="1"/>
  <c r="D33" i="1"/>
  <c r="F18" i="1"/>
  <c r="T40" i="1"/>
  <c r="E48" i="1"/>
  <c r="D48" i="1" s="1"/>
  <c r="D46" i="1"/>
  <c r="E45" i="1"/>
  <c r="D45" i="1" s="1"/>
  <c r="T77" i="1"/>
  <c r="F38" i="1"/>
  <c r="E28" i="1"/>
  <c r="D28" i="1" s="1"/>
  <c r="D16" i="1"/>
  <c r="E26" i="1"/>
  <c r="D26" i="1" s="1"/>
  <c r="E24" i="1"/>
  <c r="D24" i="1" s="1"/>
  <c r="E25" i="1"/>
  <c r="D25" i="1" s="1"/>
  <c r="D23" i="1"/>
  <c r="E13" i="1"/>
  <c r="F18" i="3" l="1"/>
  <c r="F52" i="3" s="1"/>
  <c r="F53" i="3" s="1"/>
  <c r="D19" i="3"/>
  <c r="D13" i="3"/>
  <c r="E26" i="3"/>
  <c r="D26" i="3" s="1"/>
  <c r="E38" i="3"/>
  <c r="D38" i="3" s="1"/>
  <c r="E45" i="3"/>
  <c r="D45" i="3" s="1"/>
  <c r="E22" i="3"/>
  <c r="D22" i="3" s="1"/>
  <c r="D31" i="3"/>
  <c r="E28" i="3"/>
  <c r="D28" i="3" s="1"/>
  <c r="E36" i="3"/>
  <c r="D36" i="3" s="1"/>
  <c r="E45" i="2"/>
  <c r="D45" i="2" s="1"/>
  <c r="E26" i="2"/>
  <c r="D26" i="2" s="1"/>
  <c r="E35" i="2"/>
  <c r="D35" i="2" s="1"/>
  <c r="D41" i="2"/>
  <c r="E38" i="2"/>
  <c r="D38" i="2" s="1"/>
  <c r="E36" i="2"/>
  <c r="D36" i="2" s="1"/>
  <c r="E25" i="2"/>
  <c r="D25" i="2" s="1"/>
  <c r="D13" i="2"/>
  <c r="D20" i="2"/>
  <c r="E19" i="2"/>
  <c r="F18" i="2"/>
  <c r="F52" i="2" s="1"/>
  <c r="F53" i="2" s="1"/>
  <c r="F52" i="1"/>
  <c r="F53" i="1" s="1"/>
  <c r="E22" i="1"/>
  <c r="D22" i="1" s="1"/>
  <c r="E32" i="1"/>
  <c r="D32" i="1" s="1"/>
  <c r="D13" i="1"/>
  <c r="D38" i="1"/>
  <c r="D19" i="1"/>
  <c r="E32" i="3" l="1"/>
  <c r="D32" i="3" s="1"/>
  <c r="E22" i="2"/>
  <c r="D22" i="2" s="1"/>
  <c r="E32" i="2"/>
  <c r="D32" i="2" s="1"/>
  <c r="D19" i="2"/>
  <c r="E18" i="1"/>
  <c r="E18" i="3" l="1"/>
  <c r="E18" i="2"/>
  <c r="D18" i="1"/>
  <c r="E52" i="1"/>
  <c r="D18" i="3" l="1"/>
  <c r="E52" i="3"/>
  <c r="D18" i="2"/>
  <c r="E52" i="2"/>
  <c r="E53" i="1"/>
  <c r="D53" i="1" s="1"/>
  <c r="D56" i="1" s="1"/>
  <c r="D57" i="1" s="1"/>
  <c r="D52" i="1"/>
  <c r="D52" i="3" l="1"/>
  <c r="E53" i="3"/>
  <c r="D53" i="3" s="1"/>
  <c r="D56" i="3" s="1"/>
  <c r="D57" i="3" s="1"/>
  <c r="D52" i="2"/>
  <c r="E53" i="2"/>
  <c r="D53" i="2" s="1"/>
  <c r="D56" i="2" s="1"/>
  <c r="D5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W2" authorId="0" shapeId="0" xr:uid="{13C4548E-36F0-4B94-980C-ACF55B0D310B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AL2" authorId="0" shapeId="0" xr:uid="{7BD71B0C-29FC-41F8-AC4B-F350470453D8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C7" authorId="0" shapeId="0" xr:uid="{C89B1A42-DE3F-4488-B0E0-E8ADA901E474}">
      <text>
        <r>
          <rPr>
            <sz val="12"/>
            <rFont val="Arial Black"/>
            <family val="2"/>
            <charset val="1"/>
          </rPr>
          <t xml:space="preserve">Insertar nombre del producto
</t>
        </r>
      </text>
    </comment>
    <comment ref="D10" authorId="0" shapeId="0" xr:uid="{839CB9F1-04CE-454E-91BE-B83608E41BD5}">
      <text>
        <r>
          <rPr>
            <sz val="12"/>
            <rFont val="Arial Black"/>
            <family val="2"/>
            <charset val="1"/>
          </rPr>
          <t>Insertar volumen de producción</t>
        </r>
      </text>
    </comment>
    <comment ref="E10" authorId="0" shapeId="0" xr:uid="{6080961A-BEEF-4071-9893-079449F30992}">
      <text>
        <r>
          <rPr>
            <sz val="12"/>
            <rFont val="Arial Black"/>
            <family val="2"/>
            <charset val="1"/>
          </rPr>
          <t xml:space="preserve">Unidad de Medida
</t>
        </r>
      </text>
    </comment>
    <comment ref="CJ18" authorId="0" shapeId="0" xr:uid="{4E26D199-9795-49B5-BB6F-0F32CB80FBAC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BU19" authorId="0" shapeId="0" xr:uid="{0FE85EAD-7437-4CA4-963D-F7A6EF56DB0D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W41" authorId="0" shapeId="0" xr:uid="{B4DCD7F7-5854-48D8-8544-916C12A9CCB2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AL41" authorId="0" shapeId="0" xr:uid="{4CC7FE18-1CAC-4CEB-B714-AD0E4F5F5E02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BU67" authorId="0" shapeId="0" xr:uid="{27895745-EA95-4FB3-8642-8E71A83B459D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CJ68" authorId="0" shapeId="0" xr:uid="{3D2F5F28-2727-45AA-8341-639061981728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W2" authorId="0" shapeId="0" xr:uid="{BAE55B13-D965-45EA-99BD-E182F004E75F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AL2" authorId="0" shapeId="0" xr:uid="{B5C6CE50-D8A4-46F9-936B-F5B4ECE130E1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C7" authorId="0" shapeId="0" xr:uid="{A40AB47B-FFE1-414C-9248-43CB1519978D}">
      <text>
        <r>
          <rPr>
            <sz val="12"/>
            <rFont val="Arial Black"/>
            <family val="2"/>
            <charset val="1"/>
          </rPr>
          <t xml:space="preserve">Insertar nombre del producto
</t>
        </r>
      </text>
    </comment>
    <comment ref="D10" authorId="0" shapeId="0" xr:uid="{45CED8C2-39E0-4828-8236-5F3464C27984}">
      <text>
        <r>
          <rPr>
            <sz val="12"/>
            <rFont val="Arial Black"/>
            <family val="2"/>
            <charset val="1"/>
          </rPr>
          <t>Insertar volumen de producción</t>
        </r>
      </text>
    </comment>
    <comment ref="E10" authorId="0" shapeId="0" xr:uid="{53D9BF82-5D21-413A-9C3A-3E29F2C248AF}">
      <text>
        <r>
          <rPr>
            <sz val="12"/>
            <rFont val="Arial Black"/>
            <family val="2"/>
            <charset val="1"/>
          </rPr>
          <t xml:space="preserve">Unidad de Medida
</t>
        </r>
      </text>
    </comment>
    <comment ref="CJ18" authorId="0" shapeId="0" xr:uid="{87BBDFE9-052C-4873-A46A-33B7C52FBB56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BU19" authorId="0" shapeId="0" xr:uid="{06D7DEBA-850B-4B57-8715-3D14ED6E3EC6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W41" authorId="0" shapeId="0" xr:uid="{90E1954A-5996-445E-B63A-B7CCFCC36B32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AL41" authorId="0" shapeId="0" xr:uid="{25DC8C71-25C7-42B6-B991-92E1BFC3C0F6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BU67" authorId="0" shapeId="0" xr:uid="{D1D0728E-3B6A-49CD-B946-1327C0941E60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CJ68" authorId="0" shapeId="0" xr:uid="{F4B4D970-B64B-476E-B35D-3107BFAFC190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W2" authorId="0" shapeId="0" xr:uid="{00000000-0006-0000-0000-000004000000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AL2" authorId="0" shapeId="0" xr:uid="{00000000-0006-0000-0000-000006000000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C7" authorId="0" shapeId="0" xr:uid="{00000000-0006-0000-0000-000001000000}">
      <text>
        <r>
          <rPr>
            <sz val="12"/>
            <rFont val="Arial Black"/>
            <family val="2"/>
            <charset val="1"/>
          </rPr>
          <t xml:space="preserve">Insertar nombre del producto
</t>
        </r>
      </text>
    </comment>
    <comment ref="D10" authorId="0" shapeId="0" xr:uid="{00000000-0006-0000-0000-000002000000}">
      <text>
        <r>
          <rPr>
            <sz val="12"/>
            <rFont val="Arial Black"/>
            <family val="2"/>
            <charset val="1"/>
          </rPr>
          <t>Insertar volumen de producción</t>
        </r>
      </text>
    </comment>
    <comment ref="E10" authorId="0" shapeId="0" xr:uid="{00000000-0006-0000-0000-000003000000}">
      <text>
        <r>
          <rPr>
            <sz val="12"/>
            <rFont val="Arial Black"/>
            <family val="2"/>
            <charset val="1"/>
          </rPr>
          <t xml:space="preserve">Unidad de Medida
</t>
        </r>
      </text>
    </comment>
    <comment ref="CJ18" authorId="0" shapeId="0" xr:uid="{00000000-0006-0000-0000-00000A000000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BU19" authorId="0" shapeId="0" xr:uid="{00000000-0006-0000-0000-000008000000}">
      <text>
        <r>
          <rPr>
            <sz val="12"/>
            <rFont val="Arial Black"/>
            <family val="2"/>
            <charset val="1"/>
          </rPr>
          <t xml:space="preserve">Para los activos ya en explotación
</t>
        </r>
      </text>
    </comment>
    <comment ref="W41" authorId="0" shapeId="0" xr:uid="{00000000-0006-0000-0000-000005000000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AL41" authorId="0" shapeId="0" xr:uid="{00000000-0006-0000-0000-000007000000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BU67" authorId="0" shapeId="0" xr:uid="{00000000-0006-0000-0000-000009000000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  <comment ref="CJ68" authorId="0" shapeId="0" xr:uid="{00000000-0006-0000-0000-00000B000000}">
      <text>
        <r>
          <rPr>
            <sz val="12"/>
            <rFont val="Arial Black"/>
            <family val="2"/>
            <charset val="1"/>
          </rPr>
          <t xml:space="preserve">Para la nueva Inversión
</t>
        </r>
      </text>
    </comment>
  </commentList>
</comments>
</file>

<file path=xl/sharedStrings.xml><?xml version="1.0" encoding="utf-8"?>
<sst xmlns="http://schemas.openxmlformats.org/spreadsheetml/2006/main" count="1221" uniqueCount="163">
  <si>
    <r>
      <rPr>
        <sz val="12"/>
        <rFont val="Arial"/>
        <charset val="1"/>
      </rPr>
      <t xml:space="preserve"> </t>
    </r>
    <r>
      <rPr>
        <b/>
        <sz val="12"/>
        <rFont val="Arial"/>
        <charset val="1"/>
      </rPr>
      <t>MINISTERIO DE FINANZAS Y PRECIOS</t>
    </r>
  </si>
  <si>
    <t>Ropa y Calzado</t>
  </si>
  <si>
    <r>
      <rPr>
        <b/>
        <sz val="12"/>
        <rFont val="Arial"/>
        <charset val="1"/>
      </rPr>
      <t>MINISTERIO DE ECONOMÍA Y PLANIFICACIÓN</t>
    </r>
    <r>
      <rPr>
        <sz val="12"/>
        <rFont val="Arial"/>
        <charset val="1"/>
      </rPr>
      <t xml:space="preserve">         </t>
    </r>
  </si>
  <si>
    <t>Materias Primas y Materiales Fundamentales</t>
  </si>
  <si>
    <t>Depreciación de AFT de las Áreas Directas</t>
  </si>
  <si>
    <t>Depreciación de AFT de las Áreas Indirectas</t>
  </si>
  <si>
    <t>Desglose del Gasto de Salario de los trabajadores directos</t>
  </si>
  <si>
    <t xml:space="preserve">Desglose de los Materiales Auxiliares </t>
  </si>
  <si>
    <t>Gastos Generales de Administración</t>
  </si>
  <si>
    <t>FICHA  PARA  PRECIOS Y SU COMPONENTE EN PESOS CONVERTIBLES</t>
  </si>
  <si>
    <t>2.4 tm</t>
  </si>
  <si>
    <t>Gastos de Distribución y Ventas</t>
  </si>
  <si>
    <t>Combustibles y Lubricantes</t>
  </si>
  <si>
    <t xml:space="preserve">EMPRESA: </t>
  </si>
  <si>
    <t xml:space="preserve">Código: </t>
  </si>
  <si>
    <t>Código</t>
  </si>
  <si>
    <t>Producto</t>
  </si>
  <si>
    <t>U.M.</t>
  </si>
  <si>
    <t xml:space="preserve">Norma de </t>
  </si>
  <si>
    <t>Precio</t>
  </si>
  <si>
    <t>Importe</t>
  </si>
  <si>
    <t>Total</t>
  </si>
  <si>
    <t>Inventario</t>
  </si>
  <si>
    <t>Descripción</t>
  </si>
  <si>
    <t>Valor inicial</t>
  </si>
  <si>
    <t>Dep Acum</t>
  </si>
  <si>
    <t>Valor Residual</t>
  </si>
  <si>
    <t>Tasa. Anual               %</t>
  </si>
  <si>
    <t>Dep. anual</t>
  </si>
  <si>
    <t>Dep. x Udad</t>
  </si>
  <si>
    <t>Dep. Acu.</t>
  </si>
  <si>
    <t>Descripción de la Operación</t>
  </si>
  <si>
    <t>Cantidad Trab</t>
  </si>
  <si>
    <t>Categoria Ocupacional</t>
  </si>
  <si>
    <t>Salario Mensual</t>
  </si>
  <si>
    <t>Tarifa Horaria</t>
  </si>
  <si>
    <t>Horas a Trabajar</t>
  </si>
  <si>
    <t>Gasto de Salario</t>
  </si>
  <si>
    <t>Codigo</t>
  </si>
  <si>
    <t>Trabajadores Directos</t>
  </si>
  <si>
    <t xml:space="preserve">Trabajadores Indirectos </t>
  </si>
  <si>
    <t>Trabajadores Indirectos Comercial</t>
  </si>
  <si>
    <t xml:space="preserve">    Plan de Producción:</t>
  </si>
  <si>
    <t>Consumo</t>
  </si>
  <si>
    <t>CUP</t>
  </si>
  <si>
    <t>USD</t>
  </si>
  <si>
    <t xml:space="preserve"> </t>
  </si>
  <si>
    <t>Elaboración de croquetas</t>
  </si>
  <si>
    <t>Operario</t>
  </si>
  <si>
    <t>UM</t>
  </si>
  <si>
    <t xml:space="preserve">Capac. Instalada: </t>
  </si>
  <si>
    <t>kg</t>
  </si>
  <si>
    <t>administrativo</t>
  </si>
  <si>
    <t>Percapita por Trabajadores</t>
  </si>
  <si>
    <t xml:space="preserve">Producto:                                                                </t>
  </si>
  <si>
    <t>Empacador de croquetas</t>
  </si>
  <si>
    <t>trabajador</t>
  </si>
  <si>
    <t xml:space="preserve">Diesel </t>
  </si>
  <si>
    <t>Lts</t>
  </si>
  <si>
    <t xml:space="preserve">Código Prod.:                                                                                % utiliz: </t>
  </si>
  <si>
    <t>Harina de trigo</t>
  </si>
  <si>
    <t>Medios de Protección</t>
  </si>
  <si>
    <t>Sal</t>
  </si>
  <si>
    <t>Aseo Personal</t>
  </si>
  <si>
    <t xml:space="preserve">Volumen Producto p/ la Ficha de Costo: </t>
  </si>
  <si>
    <t>Total x Trab.</t>
  </si>
  <si>
    <t>CONCEPTOS DE GASTOS</t>
  </si>
  <si>
    <t>Fila</t>
  </si>
  <si>
    <t>TOTAL UNITARIO</t>
  </si>
  <si>
    <t>De ello:     MN</t>
  </si>
  <si>
    <t>De ello:     USD</t>
  </si>
  <si>
    <t>Aceite vegetal</t>
  </si>
  <si>
    <t>Total de Gastos Anual</t>
  </si>
  <si>
    <t>Materia Prima y Materiales</t>
  </si>
  <si>
    <t>Años del Proyecto</t>
  </si>
  <si>
    <t xml:space="preserve">  Materia Prima y Materiales Fundamentales</t>
  </si>
  <si>
    <t>Producción Total</t>
  </si>
  <si>
    <t xml:space="preserve">  Combustibles y lubricantes</t>
  </si>
  <si>
    <t xml:space="preserve">A Cargar a la ficha </t>
  </si>
  <si>
    <t xml:space="preserve">  Energía Eléctrica</t>
  </si>
  <si>
    <t xml:space="preserve">  Agua</t>
  </si>
  <si>
    <t>Sub total ( Gastos de elaboración)</t>
  </si>
  <si>
    <t xml:space="preserve">Depreciación de AFT </t>
  </si>
  <si>
    <t>Otros Gastos directos</t>
  </si>
  <si>
    <t xml:space="preserve">  Depreciación</t>
  </si>
  <si>
    <t>Inv</t>
  </si>
  <si>
    <t>Valor Resid</t>
  </si>
  <si>
    <t xml:space="preserve">  Ropa y calzado ( trabajadores directos)</t>
  </si>
  <si>
    <t xml:space="preserve">Depreciación Acumulada </t>
  </si>
  <si>
    <t>Gastos de fuerza de trabajo (Directos)</t>
  </si>
  <si>
    <t xml:space="preserve">  Salarios</t>
  </si>
  <si>
    <t xml:space="preserve">  Vacaciones</t>
  </si>
  <si>
    <t>% Aplicable:</t>
  </si>
  <si>
    <t xml:space="preserve">  Impuesto utilización de la Fuerza de trabajo </t>
  </si>
  <si>
    <t xml:space="preserve">  Contribución a la seguridad Social </t>
  </si>
  <si>
    <t xml:space="preserve">  Estimulación </t>
  </si>
  <si>
    <t>Gastos indirectos de producción</t>
  </si>
  <si>
    <t xml:space="preserve">  Materiales auxiliares </t>
  </si>
  <si>
    <t xml:space="preserve">  Mantenimiento y reparación </t>
  </si>
  <si>
    <t xml:space="preserve">  Depreciación </t>
  </si>
  <si>
    <t>Gastos de fuerza de trabajo (Indirectos)</t>
  </si>
  <si>
    <t>Consumo de Agua Natural</t>
  </si>
  <si>
    <t xml:space="preserve">  Contribución a la seguridad Social</t>
  </si>
  <si>
    <t>TOTAL</t>
  </si>
  <si>
    <t xml:space="preserve">  Estimulación</t>
  </si>
  <si>
    <t>Gastos generales y de administración</t>
  </si>
  <si>
    <t>Agua Natural</t>
  </si>
  <si>
    <t>Lt</t>
  </si>
  <si>
    <t xml:space="preserve">  Combustible y lubricantes</t>
  </si>
  <si>
    <t xml:space="preserve">  Energía eléctrica</t>
  </si>
  <si>
    <t>Depreciación de la Inversión</t>
  </si>
  <si>
    <t>Deperciación de la Inversión</t>
  </si>
  <si>
    <t>Desglose del Gasto de Salario de los trabajadores Indirectos</t>
  </si>
  <si>
    <t xml:space="preserve">  Ropa y Calzado (trabajadores  indirectos)</t>
  </si>
  <si>
    <t xml:space="preserve">  Alimentos</t>
  </si>
  <si>
    <t xml:space="preserve">Dep. Acumulada </t>
  </si>
  <si>
    <t>Tasa. anual</t>
  </si>
  <si>
    <t>Depreciación x Unidad</t>
  </si>
  <si>
    <t xml:space="preserve">  Otros </t>
  </si>
  <si>
    <t>MN</t>
  </si>
  <si>
    <t>%</t>
  </si>
  <si>
    <t>Desglose del Gasto de Energía Eléctrica</t>
  </si>
  <si>
    <t>Máquina embutidora hidráulica</t>
  </si>
  <si>
    <t>Equipo</t>
  </si>
  <si>
    <t>Consumo por Hora</t>
  </si>
  <si>
    <t>Horas de trabajo</t>
  </si>
  <si>
    <t>Amasadora</t>
  </si>
  <si>
    <t xml:space="preserve">  Ropa y Calzado (trabajadores. indirectos)</t>
  </si>
  <si>
    <t xml:space="preserve">Empacadora al Vacío </t>
  </si>
  <si>
    <t xml:space="preserve">Consumo </t>
  </si>
  <si>
    <t>CUC</t>
  </si>
  <si>
    <t>Gastos Bancarios</t>
  </si>
  <si>
    <t>Gastos Totales o Costo de producción</t>
  </si>
  <si>
    <t>Costo Unitario:</t>
  </si>
  <si>
    <t>Margen Comercial S/base autorizada</t>
  </si>
  <si>
    <t>Precio Unitario</t>
  </si>
  <si>
    <t>Elaborado por                                                     Firma:</t>
  </si>
  <si>
    <t>Cargo:</t>
  </si>
  <si>
    <t>Fecha:</t>
  </si>
  <si>
    <t>Aprobado por                                                     Firma:</t>
  </si>
  <si>
    <t>Desglose de los Combustibles y Lubricantes</t>
  </si>
  <si>
    <t>Años para el cálculo</t>
  </si>
  <si>
    <t>Volumen de producción Total</t>
  </si>
  <si>
    <t xml:space="preserve">Impuesto sobre las ventas (ISV) </t>
  </si>
  <si>
    <t xml:space="preserve">Precio de costo </t>
  </si>
  <si>
    <t>PIZZA QUESO BLANCO 21cm</t>
  </si>
  <si>
    <t>Levadura</t>
  </si>
  <si>
    <t>Azucar</t>
  </si>
  <si>
    <t>UNIDADES</t>
  </si>
  <si>
    <t>Pasta de tomate</t>
  </si>
  <si>
    <t>PALWEB SURL</t>
  </si>
  <si>
    <t>Organismo: MIPYME                                Plan de Producción: 116</t>
  </si>
  <si>
    <t>Máquina formadora de pizzas</t>
  </si>
  <si>
    <t>Picadora de especies</t>
  </si>
  <si>
    <t>Queso Blanco</t>
  </si>
  <si>
    <t>Comino + sazon completo</t>
  </si>
  <si>
    <t>Queso gouda</t>
  </si>
  <si>
    <t>PIZZA QUESO gouda  21cm</t>
  </si>
  <si>
    <t>Pan suave acemita 40g</t>
  </si>
  <si>
    <t>mejorador de pan</t>
  </si>
  <si>
    <t>Máquina boleadora</t>
  </si>
  <si>
    <t>gas GPL</t>
  </si>
  <si>
    <t>mcub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</si>
</sst>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\ %"/>
    <numFmt numFmtId="167" formatCode="0.00_ "/>
  </numFmts>
  <fonts count="16" x14ac:knownFonts="1">
    <font>
      <sz val="10"/>
      <name val="Arial"/>
    </font>
    <font>
      <sz val="10"/>
      <name val="Arial"/>
    </font>
    <font>
      <sz val="12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FF0000"/>
      <name val="Arial"/>
      <charset val="1"/>
    </font>
    <font>
      <b/>
      <sz val="11"/>
      <color rgb="FF000000"/>
      <name val="Arial"/>
      <charset val="1"/>
    </font>
    <font>
      <sz val="10"/>
      <name val="Arial"/>
      <charset val="1"/>
    </font>
    <font>
      <sz val="11"/>
      <color rgb="FF000000"/>
      <name val="Arial"/>
      <charset val="1"/>
    </font>
    <font>
      <u/>
      <sz val="10"/>
      <color rgb="FF0000FF"/>
      <name val="Arial"/>
      <charset val="1"/>
    </font>
    <font>
      <sz val="11"/>
      <color rgb="FFFF0000"/>
      <name val="Arial"/>
      <charset val="1"/>
    </font>
    <font>
      <u/>
      <sz val="12"/>
      <name val="Arial"/>
      <charset val="1"/>
    </font>
    <font>
      <b/>
      <sz val="12"/>
      <name val="Arial"/>
      <charset val="1"/>
    </font>
    <font>
      <sz val="12"/>
      <name val="Arial"/>
      <charset val="1"/>
    </font>
    <font>
      <sz val="12"/>
      <name val="Arial Black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6600"/>
        <bgColor rgb="FFFF9900"/>
      </patternFill>
    </fill>
  </fills>
  <borders count="48">
    <border>
      <left/>
      <right/>
      <top/>
      <bottom/>
      <diagonal/>
    </border>
    <border>
      <left style="medium">
        <color indexed="0"/>
      </left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medium">
        <color indexed="0"/>
      </right>
      <top/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indexed="0"/>
      </bottom>
      <diagonal/>
    </border>
    <border>
      <left/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medium">
        <color indexed="0"/>
      </top>
      <bottom style="thin">
        <color indexed="0"/>
      </bottom>
      <diagonal/>
    </border>
    <border>
      <left/>
      <right style="thin">
        <color indexed="0"/>
      </right>
      <top style="medium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medium">
        <color indexed="0"/>
      </left>
      <right style="medium">
        <color indexed="0"/>
      </right>
      <top/>
      <bottom/>
      <diagonal/>
    </border>
    <border>
      <left/>
      <right style="medium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medium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medium">
        <color indexed="0"/>
      </right>
      <top style="thin">
        <color indexed="0"/>
      </top>
      <bottom/>
      <diagonal/>
    </border>
    <border>
      <left style="thick">
        <color indexed="64"/>
      </left>
      <right style="thin">
        <color indexed="0"/>
      </right>
      <top style="thick">
        <color indexed="64"/>
      </top>
      <bottom/>
      <diagonal/>
    </border>
    <border>
      <left style="thin">
        <color indexed="0"/>
      </left>
      <right style="thin">
        <color indexed="0"/>
      </right>
      <top style="thick">
        <color indexed="64"/>
      </top>
      <bottom/>
      <diagonal/>
    </border>
    <border>
      <left style="thin">
        <color indexed="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0"/>
      </right>
      <top style="thick">
        <color indexed="64"/>
      </top>
      <bottom style="thick">
        <color indexed="64"/>
      </bottom>
      <diagonal/>
    </border>
    <border>
      <left style="thin">
        <color indexed="0"/>
      </left>
      <right style="thin">
        <color indexed="0"/>
      </right>
      <top style="thick">
        <color indexed="64"/>
      </top>
      <bottom style="thick">
        <color indexed="64"/>
      </bottom>
      <diagonal/>
    </border>
    <border>
      <left style="thin">
        <color indexed="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0"/>
      </left>
      <right style="thin">
        <color indexed="0"/>
      </right>
      <top/>
      <bottom style="medium">
        <color indexed="0"/>
      </bottom>
      <diagonal/>
    </border>
    <border>
      <left style="thin">
        <color indexed="0"/>
      </left>
      <right style="thin">
        <color indexed="0"/>
      </right>
      <top/>
      <bottom style="medium">
        <color indexed="0"/>
      </bottom>
      <diagonal/>
    </border>
    <border>
      <left style="medium">
        <color indexed="0"/>
      </left>
      <right/>
      <top/>
      <bottom style="medium">
        <color indexed="0"/>
      </bottom>
      <diagonal/>
    </border>
    <border>
      <left style="medium">
        <color indexed="0"/>
      </left>
      <right/>
      <top/>
      <bottom/>
      <diagonal/>
    </border>
    <border>
      <left style="medium">
        <color indexed="0"/>
      </left>
      <right/>
      <top style="medium">
        <color indexed="0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0"/>
      </bottom>
      <diagonal/>
    </border>
    <border>
      <left/>
      <right style="thick">
        <color indexed="64"/>
      </right>
      <top style="thick">
        <color indexed="64"/>
      </top>
      <bottom style="medium">
        <color indexed="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0"/>
      </left>
      <right/>
      <top style="medium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/>
      <diagonal/>
    </border>
  </borders>
  <cellStyleXfs count="2">
    <xf numFmtId="0" fontId="0" fillId="0" borderId="0">
      <alignment vertical="center"/>
    </xf>
    <xf numFmtId="0" fontId="10" fillId="0" borderId="0">
      <alignment vertical="top"/>
      <protection locked="0"/>
    </xf>
  </cellStyleXfs>
  <cellXfs count="22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0" borderId="3" xfId="0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Alignment="1"/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4" fillId="2" borderId="8" xfId="0" applyFont="1" applyFill="1" applyBorder="1" applyAlignment="1">
      <alignment horizontal="center"/>
    </xf>
    <xf numFmtId="1" fontId="7" fillId="3" borderId="7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2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justify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/>
    </xf>
    <xf numFmtId="0" fontId="8" fillId="5" borderId="0" xfId="0" applyFont="1" applyFill="1" applyAlignment="1"/>
    <xf numFmtId="1" fontId="1" fillId="0" borderId="2" xfId="0" applyNumberFormat="1" applyFont="1" applyBorder="1" applyAlignment="1">
      <alignment horizontal="center"/>
    </xf>
    <xf numFmtId="0" fontId="1" fillId="5" borderId="0" xfId="0" applyFont="1" applyFill="1" applyAlignment="1"/>
    <xf numFmtId="1" fontId="1" fillId="0" borderId="2" xfId="0" applyNumberFormat="1" applyFont="1" applyBorder="1" applyAlignment="1"/>
    <xf numFmtId="0" fontId="3" fillId="0" borderId="5" xfId="0" applyFont="1" applyBorder="1" applyAlignment="1" applyProtection="1">
      <alignment vertical="top"/>
      <protection locked="0"/>
    </xf>
    <xf numFmtId="0" fontId="4" fillId="2" borderId="11" xfId="0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2" fontId="5" fillId="0" borderId="11" xfId="0" applyNumberFormat="1" applyFont="1" applyBorder="1" applyAlignment="1">
      <alignment horizontal="right" vertical="center"/>
    </xf>
    <xf numFmtId="2" fontId="5" fillId="0" borderId="11" xfId="0" applyNumberFormat="1" applyFont="1" applyBorder="1" applyAlignment="1">
      <alignment horizontal="right"/>
    </xf>
    <xf numFmtId="2" fontId="5" fillId="3" borderId="11" xfId="0" applyNumberFormat="1" applyFont="1" applyFill="1" applyBorder="1" applyAlignment="1">
      <alignment horizontal="right" vertical="center"/>
    </xf>
    <xf numFmtId="1" fontId="5" fillId="0" borderId="11" xfId="0" applyNumberFormat="1" applyFont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0" fontId="5" fillId="0" borderId="12" xfId="0" applyFont="1" applyBorder="1" applyAlignment="1"/>
    <xf numFmtId="0" fontId="5" fillId="0" borderId="14" xfId="0" applyFont="1" applyBorder="1" applyAlignment="1"/>
    <xf numFmtId="0" fontId="5" fillId="0" borderId="11" xfId="0" applyFont="1" applyBorder="1" applyAlignment="1">
      <alignment horizontal="center"/>
    </xf>
    <xf numFmtId="164" fontId="5" fillId="4" borderId="11" xfId="0" applyNumberFormat="1" applyFont="1" applyFill="1" applyBorder="1" applyAlignment="1">
      <alignment horizontal="right"/>
    </xf>
    <xf numFmtId="2" fontId="5" fillId="4" borderId="13" xfId="0" applyNumberFormat="1" applyFont="1" applyFill="1" applyBorder="1" applyAlignment="1">
      <alignment horizontal="right"/>
    </xf>
    <xf numFmtId="0" fontId="4" fillId="4" borderId="11" xfId="0" applyFont="1" applyFill="1" applyBorder="1" applyAlignment="1">
      <alignment horizontal="center"/>
    </xf>
    <xf numFmtId="0" fontId="4" fillId="0" borderId="0" xfId="0" applyFont="1" applyAlignment="1"/>
    <xf numFmtId="0" fontId="1" fillId="5" borderId="0" xfId="0" applyFont="1" applyFill="1" applyAlignment="1">
      <alignment horizontal="center"/>
    </xf>
    <xf numFmtId="0" fontId="3" fillId="0" borderId="2" xfId="0" applyFont="1" applyBorder="1" applyAlignment="1">
      <alignment vertical="top" wrapText="1"/>
    </xf>
    <xf numFmtId="0" fontId="5" fillId="0" borderId="11" xfId="0" applyFont="1" applyBorder="1" applyAlignment="1">
      <alignment horizontal="left"/>
    </xf>
    <xf numFmtId="2" fontId="5" fillId="2" borderId="11" xfId="0" applyNumberFormat="1" applyFont="1" applyFill="1" applyBorder="1" applyAlignment="1">
      <alignment horizontal="right"/>
    </xf>
    <xf numFmtId="2" fontId="5" fillId="2" borderId="13" xfId="0" applyNumberFormat="1" applyFont="1" applyFill="1" applyBorder="1" applyAlignment="1">
      <alignment horizontal="right"/>
    </xf>
    <xf numFmtId="165" fontId="5" fillId="3" borderId="11" xfId="0" applyNumberFormat="1" applyFont="1" applyFill="1" applyBorder="1" applyAlignment="1">
      <alignment horizontal="right" vertical="center"/>
    </xf>
    <xf numFmtId="2" fontId="5" fillId="4" borderId="11" xfId="0" applyNumberFormat="1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0" fontId="5" fillId="0" borderId="11" xfId="0" applyFont="1" applyBorder="1" applyAlignment="1"/>
    <xf numFmtId="4" fontId="4" fillId="0" borderId="0" xfId="0" applyNumberFormat="1" applyFont="1" applyAlignment="1"/>
    <xf numFmtId="2" fontId="4" fillId="0" borderId="0" xfId="0" applyNumberFormat="1" applyFont="1" applyAlignment="1"/>
    <xf numFmtId="2" fontId="5" fillId="3" borderId="11" xfId="0" applyNumberFormat="1" applyFont="1" applyFill="1" applyBorder="1" applyAlignment="1">
      <alignment horizontal="right"/>
    </xf>
    <xf numFmtId="2" fontId="5" fillId="3" borderId="13" xfId="0" applyNumberFormat="1" applyFont="1" applyFill="1" applyBorder="1" applyAlignment="1">
      <alignment horizontal="right"/>
    </xf>
    <xf numFmtId="2" fontId="8" fillId="5" borderId="0" xfId="0" applyNumberFormat="1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right" vertical="center"/>
    </xf>
    <xf numFmtId="0" fontId="4" fillId="0" borderId="11" xfId="0" applyFont="1" applyBorder="1" applyAlignment="1">
      <alignment horizontal="left"/>
    </xf>
    <xf numFmtId="0" fontId="3" fillId="0" borderId="5" xfId="0" applyFont="1" applyBorder="1" applyAlignment="1" applyProtection="1">
      <alignment horizontal="right" vertical="top"/>
      <protection locked="0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2" fontId="5" fillId="0" borderId="0" xfId="0" applyNumberFormat="1" applyFont="1" applyAlignment="1">
      <alignment horizontal="center"/>
    </xf>
    <xf numFmtId="0" fontId="3" fillId="0" borderId="7" xfId="0" applyFont="1" applyBorder="1" applyAlignment="1">
      <alignment vertical="top" wrapText="1"/>
    </xf>
    <xf numFmtId="0" fontId="3" fillId="0" borderId="18" xfId="0" applyFont="1" applyBorder="1" applyAlignment="1">
      <alignment horizontal="center" vertical="top"/>
    </xf>
    <xf numFmtId="2" fontId="3" fillId="0" borderId="18" xfId="0" applyNumberFormat="1" applyFont="1" applyBorder="1" applyAlignment="1">
      <alignment horizontal="right" vertical="top"/>
    </xf>
    <xf numFmtId="2" fontId="3" fillId="0" borderId="8" xfId="0" applyNumberFormat="1" applyFont="1" applyBorder="1" applyAlignment="1">
      <alignment horizontal="right" vertical="top"/>
    </xf>
    <xf numFmtId="2" fontId="3" fillId="0" borderId="9" xfId="0" applyNumberFormat="1" applyFont="1" applyBorder="1" applyAlignment="1">
      <alignment horizontal="right" vertical="top"/>
    </xf>
    <xf numFmtId="0" fontId="8" fillId="0" borderId="11" xfId="0" applyFont="1" applyBorder="1" applyAlignment="1"/>
    <xf numFmtId="0" fontId="1" fillId="0" borderId="11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2" fontId="5" fillId="0" borderId="19" xfId="0" applyNumberFormat="1" applyFont="1" applyBorder="1" applyAlignment="1">
      <alignment horizontal="right"/>
    </xf>
    <xf numFmtId="1" fontId="1" fillId="5" borderId="0" xfId="0" applyNumberFormat="1" applyFont="1" applyFill="1" applyAlignment="1">
      <alignment horizontal="center"/>
    </xf>
    <xf numFmtId="0" fontId="10" fillId="0" borderId="12" xfId="1" applyBorder="1" applyAlignment="1" applyProtection="1">
      <alignment vertical="top" wrapText="1"/>
    </xf>
    <xf numFmtId="0" fontId="2" fillId="0" borderId="11" xfId="0" applyFont="1" applyBorder="1" applyAlignment="1">
      <alignment horizontal="center" vertical="top"/>
    </xf>
    <xf numFmtId="2" fontId="2" fillId="0" borderId="18" xfId="0" applyNumberFormat="1" applyFont="1" applyBorder="1" applyAlignment="1">
      <alignment horizontal="right" vertical="top"/>
    </xf>
    <xf numFmtId="2" fontId="2" fillId="0" borderId="11" xfId="0" applyNumberFormat="1" applyFont="1" applyBorder="1" applyAlignment="1">
      <alignment horizontal="right" vertical="top"/>
    </xf>
    <xf numFmtId="2" fontId="2" fillId="0" borderId="13" xfId="0" applyNumberFormat="1" applyFont="1" applyBorder="1" applyAlignment="1">
      <alignment horizontal="right" vertical="top"/>
    </xf>
    <xf numFmtId="0" fontId="5" fillId="3" borderId="20" xfId="0" applyFont="1" applyFill="1" applyBorder="1" applyAlignment="1"/>
    <xf numFmtId="0" fontId="4" fillId="3" borderId="21" xfId="0" applyFont="1" applyFill="1" applyBorder="1" applyAlignment="1"/>
    <xf numFmtId="0" fontId="5" fillId="3" borderId="21" xfId="0" applyFont="1" applyFill="1" applyBorder="1" applyAlignment="1"/>
    <xf numFmtId="2" fontId="5" fillId="3" borderId="21" xfId="0" applyNumberFormat="1" applyFont="1" applyFill="1" applyBorder="1" applyAlignment="1">
      <alignment horizontal="right"/>
    </xf>
    <xf numFmtId="2" fontId="4" fillId="3" borderId="21" xfId="0" applyNumberFormat="1" applyFont="1" applyFill="1" applyBorder="1" applyAlignment="1">
      <alignment horizontal="right"/>
    </xf>
    <xf numFmtId="2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/>
    <xf numFmtId="0" fontId="3" fillId="0" borderId="12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/>
    </xf>
    <xf numFmtId="2" fontId="3" fillId="0" borderId="11" xfId="0" applyNumberFormat="1" applyFont="1" applyBorder="1" applyAlignment="1">
      <alignment horizontal="right" vertical="top"/>
    </xf>
    <xf numFmtId="2" fontId="3" fillId="0" borderId="13" xfId="0" applyNumberFormat="1" applyFont="1" applyBorder="1" applyAlignment="1">
      <alignment horizontal="right" vertical="top"/>
    </xf>
    <xf numFmtId="0" fontId="10" fillId="0" borderId="12" xfId="1" applyBorder="1" applyAlignment="1" applyProtection="1">
      <alignment vertical="center" wrapText="1"/>
    </xf>
    <xf numFmtId="0" fontId="2" fillId="0" borderId="11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right" vertical="center"/>
    </xf>
    <xf numFmtId="2" fontId="2" fillId="2" borderId="11" xfId="0" applyNumberFormat="1" applyFont="1" applyFill="1" applyBorder="1" applyAlignment="1" applyProtection="1">
      <alignment horizontal="right" vertical="center"/>
      <protection locked="0"/>
    </xf>
    <xf numFmtId="2" fontId="2" fillId="0" borderId="13" xfId="0" applyNumberFormat="1" applyFont="1" applyBorder="1" applyAlignment="1">
      <alignment horizontal="right" vertical="center"/>
    </xf>
    <xf numFmtId="2" fontId="5" fillId="0" borderId="11" xfId="0" applyNumberFormat="1" applyFont="1" applyBorder="1" applyAlignment="1">
      <alignment horizontal="center" vertical="center"/>
    </xf>
    <xf numFmtId="2" fontId="2" fillId="6" borderId="13" xfId="0" applyNumberFormat="1" applyFont="1" applyFill="1" applyBorder="1" applyAlignment="1">
      <alignment horizontal="right" vertical="top"/>
    </xf>
    <xf numFmtId="2" fontId="5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vertical="top" wrapText="1"/>
    </xf>
    <xf numFmtId="2" fontId="2" fillId="6" borderId="1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/>
    </xf>
    <xf numFmtId="0" fontId="5" fillId="2" borderId="12" xfId="0" applyFont="1" applyFill="1" applyBorder="1" applyAlignment="1"/>
    <xf numFmtId="0" fontId="5" fillId="2" borderId="11" xfId="0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right"/>
    </xf>
    <xf numFmtId="2" fontId="4" fillId="2" borderId="13" xfId="0" applyNumberFormat="1" applyFont="1" applyFill="1" applyBorder="1" applyAlignment="1">
      <alignment horizontal="right"/>
    </xf>
    <xf numFmtId="0" fontId="11" fillId="0" borderId="11" xfId="0" applyFont="1" applyBorder="1" applyAlignment="1">
      <alignment horizontal="left"/>
    </xf>
    <xf numFmtId="0" fontId="5" fillId="4" borderId="20" xfId="0" applyFont="1" applyFill="1" applyBorder="1" applyAlignment="1"/>
    <xf numFmtId="0" fontId="4" fillId="4" borderId="21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2" fontId="5" fillId="4" borderId="21" xfId="0" applyNumberFormat="1" applyFont="1" applyFill="1" applyBorder="1" applyAlignment="1">
      <alignment horizontal="right"/>
    </xf>
    <xf numFmtId="2" fontId="5" fillId="4" borderId="22" xfId="0" applyNumberFormat="1" applyFont="1" applyFill="1" applyBorder="1" applyAlignment="1">
      <alignment horizontal="right"/>
    </xf>
    <xf numFmtId="2" fontId="2" fillId="0" borderId="11" xfId="0" applyNumberFormat="1" applyFont="1" applyBorder="1" applyAlignment="1" applyProtection="1">
      <alignment horizontal="right" vertical="top"/>
      <protection locked="0"/>
    </xf>
    <xf numFmtId="1" fontId="4" fillId="3" borderId="21" xfId="0" applyNumberFormat="1" applyFont="1" applyFill="1" applyBorder="1" applyAlignment="1">
      <alignment horizontal="center"/>
    </xf>
    <xf numFmtId="2" fontId="4" fillId="3" borderId="22" xfId="0" applyNumberFormat="1" applyFont="1" applyFill="1" applyBorder="1" applyAlignment="1">
      <alignment horizontal="right"/>
    </xf>
    <xf numFmtId="1" fontId="4" fillId="0" borderId="0" xfId="0" applyNumberFormat="1" applyFont="1" applyAlignment="1">
      <alignment horizontal="center"/>
    </xf>
    <xf numFmtId="0" fontId="5" fillId="2" borderId="20" xfId="0" applyFont="1" applyFill="1" applyBorder="1" applyAlignment="1"/>
    <xf numFmtId="0" fontId="5" fillId="2" borderId="2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2" fontId="5" fillId="2" borderId="21" xfId="0" applyNumberFormat="1" applyFont="1" applyFill="1" applyBorder="1" applyAlignment="1">
      <alignment horizontal="right"/>
    </xf>
    <xf numFmtId="2" fontId="5" fillId="2" borderId="22" xfId="0" applyNumberFormat="1" applyFont="1" applyFill="1" applyBorder="1" applyAlignment="1">
      <alignment horizontal="right"/>
    </xf>
    <xf numFmtId="2" fontId="5" fillId="0" borderId="0" xfId="0" applyNumberFormat="1" applyFont="1" applyAlignment="1">
      <alignment horizontal="right"/>
    </xf>
    <xf numFmtId="1" fontId="5" fillId="5" borderId="12" xfId="0" applyNumberFormat="1" applyFont="1" applyFill="1" applyBorder="1" applyAlignment="1">
      <alignment horizontal="center"/>
    </xf>
    <xf numFmtId="0" fontId="5" fillId="5" borderId="11" xfId="0" applyFont="1" applyFill="1" applyBorder="1" applyAlignment="1"/>
    <xf numFmtId="0" fontId="4" fillId="5" borderId="11" xfId="0" applyFont="1" applyFill="1" applyBorder="1" applyAlignment="1">
      <alignment horizontal="center"/>
    </xf>
    <xf numFmtId="2" fontId="4" fillId="5" borderId="11" xfId="0" applyNumberFormat="1" applyFont="1" applyFill="1" applyBorder="1" applyAlignment="1">
      <alignment horizontal="center"/>
    </xf>
    <xf numFmtId="2" fontId="4" fillId="5" borderId="13" xfId="0" applyNumberFormat="1" applyFont="1" applyFill="1" applyBorder="1" applyAlignment="1">
      <alignment horizontal="center"/>
    </xf>
    <xf numFmtId="0" fontId="5" fillId="0" borderId="11" xfId="0" applyFont="1" applyBorder="1" applyAlignment="1">
      <alignment wrapText="1"/>
    </xf>
    <xf numFmtId="2" fontId="5" fillId="3" borderId="23" xfId="0" applyNumberFormat="1" applyFont="1" applyFill="1" applyBorder="1" applyAlignment="1">
      <alignment horizontal="right"/>
    </xf>
    <xf numFmtId="2" fontId="12" fillId="6" borderId="13" xfId="0" applyNumberFormat="1" applyFont="1" applyFill="1" applyBorder="1" applyAlignment="1">
      <alignment horizontal="right" vertical="top"/>
    </xf>
    <xf numFmtId="0" fontId="13" fillId="0" borderId="24" xfId="0" applyFont="1" applyBorder="1" applyAlignment="1">
      <alignment vertical="top" wrapText="1"/>
    </xf>
    <xf numFmtId="0" fontId="13" fillId="0" borderId="25" xfId="0" applyFont="1" applyBorder="1" applyAlignment="1">
      <alignment horizontal="center" vertical="top"/>
    </xf>
    <xf numFmtId="2" fontId="13" fillId="0" borderId="19" xfId="0" applyNumberFormat="1" applyFont="1" applyBorder="1" applyAlignment="1">
      <alignment horizontal="right" vertical="top"/>
    </xf>
    <xf numFmtId="2" fontId="13" fillId="0" borderId="25" xfId="0" applyNumberFormat="1" applyFont="1" applyBorder="1" applyAlignment="1">
      <alignment horizontal="right" vertical="top"/>
    </xf>
    <xf numFmtId="2" fontId="13" fillId="0" borderId="26" xfId="0" applyNumberFormat="1" applyFont="1" applyBorder="1" applyAlignment="1">
      <alignment horizontal="right" vertical="top"/>
    </xf>
    <xf numFmtId="0" fontId="13" fillId="0" borderId="27" xfId="0" applyFont="1" applyBorder="1" applyAlignment="1">
      <alignment wrapText="1"/>
    </xf>
    <xf numFmtId="0" fontId="14" fillId="0" borderId="28" xfId="0" applyFont="1" applyBorder="1" applyAlignment="1">
      <alignment horizontal="center" wrapText="1"/>
    </xf>
    <xf numFmtId="166" fontId="14" fillId="0" borderId="28" xfId="0" applyNumberFormat="1" applyFont="1" applyBorder="1" applyAlignment="1" applyProtection="1">
      <protection locked="0"/>
    </xf>
    <xf numFmtId="0" fontId="13" fillId="0" borderId="28" xfId="0" applyFont="1" applyBorder="1" applyAlignment="1" applyProtection="1">
      <alignment horizontal="right"/>
      <protection locked="0"/>
    </xf>
    <xf numFmtId="0" fontId="13" fillId="0" borderId="29" xfId="0" applyFont="1" applyBorder="1" applyAlignment="1" applyProtection="1">
      <alignment horizontal="right"/>
      <protection locked="0"/>
    </xf>
    <xf numFmtId="0" fontId="13" fillId="0" borderId="30" xfId="0" applyFont="1" applyBorder="1" applyAlignment="1">
      <alignment wrapText="1"/>
    </xf>
    <xf numFmtId="0" fontId="14" fillId="0" borderId="31" xfId="0" applyFont="1" applyBorder="1" applyAlignment="1">
      <alignment horizontal="center" wrapText="1"/>
    </xf>
    <xf numFmtId="166" fontId="14" fillId="0" borderId="31" xfId="0" applyNumberFormat="1" applyFont="1" applyBorder="1" applyAlignment="1" applyProtection="1">
      <protection locked="0"/>
    </xf>
    <xf numFmtId="0" fontId="13" fillId="0" borderId="31" xfId="0" applyFont="1" applyBorder="1" applyAlignment="1" applyProtection="1">
      <alignment horizontal="right"/>
      <protection locked="0"/>
    </xf>
    <xf numFmtId="0" fontId="13" fillId="0" borderId="32" xfId="0" applyFont="1" applyBorder="1" applyAlignment="1" applyProtection="1">
      <alignment horizontal="right"/>
      <protection locked="0"/>
    </xf>
    <xf numFmtId="2" fontId="14" fillId="0" borderId="31" xfId="0" applyNumberFormat="1" applyFont="1" applyBorder="1" applyAlignment="1" applyProtection="1">
      <protection locked="0"/>
    </xf>
    <xf numFmtId="167" fontId="13" fillId="0" borderId="31" xfId="0" applyNumberFormat="1" applyFont="1" applyBorder="1" applyAlignment="1" applyProtection="1">
      <alignment horizontal="right"/>
      <protection locked="0"/>
    </xf>
    <xf numFmtId="167" fontId="13" fillId="0" borderId="32" xfId="0" applyNumberFormat="1" applyFont="1" applyBorder="1" applyAlignment="1" applyProtection="1">
      <alignment horizontal="right"/>
      <protection locked="0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horizontal="center"/>
    </xf>
    <xf numFmtId="2" fontId="14" fillId="0" borderId="34" xfId="0" applyNumberFormat="1" applyFont="1" applyBorder="1" applyAlignment="1" applyProtection="1">
      <protection locked="0"/>
    </xf>
    <xf numFmtId="2" fontId="13" fillId="0" borderId="34" xfId="0" applyNumberFormat="1" applyFont="1" applyBorder="1" applyAlignment="1" applyProtection="1">
      <alignment horizontal="right"/>
      <protection locked="0"/>
    </xf>
    <xf numFmtId="2" fontId="5" fillId="3" borderId="22" xfId="0" applyNumberFormat="1" applyFont="1" applyFill="1" applyBorder="1" applyAlignment="1">
      <alignment horizontal="right"/>
    </xf>
    <xf numFmtId="0" fontId="9" fillId="0" borderId="11" xfId="0" applyFont="1" applyBorder="1" applyAlignment="1"/>
    <xf numFmtId="2" fontId="9" fillId="0" borderId="11" xfId="0" applyNumberFormat="1" applyFont="1" applyBorder="1" applyAlignment="1">
      <alignment horizontal="right"/>
    </xf>
    <xf numFmtId="2" fontId="4" fillId="4" borderId="21" xfId="0" applyNumberFormat="1" applyFont="1" applyFill="1" applyBorder="1" applyAlignment="1">
      <alignment horizontal="right"/>
    </xf>
    <xf numFmtId="1" fontId="4" fillId="3" borderId="21" xfId="0" applyNumberFormat="1" applyFont="1" applyFill="1" applyBorder="1" applyAlignment="1"/>
    <xf numFmtId="164" fontId="5" fillId="4" borderId="21" xfId="0" applyNumberFormat="1" applyFont="1" applyFill="1" applyBorder="1" applyAlignment="1">
      <alignment horizontal="right"/>
    </xf>
    <xf numFmtId="0" fontId="4" fillId="2" borderId="4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2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3" fillId="0" borderId="35" xfId="0" applyFont="1" applyBorder="1" applyAlignment="1">
      <alignment horizontal="justify" vertical="top" wrapText="1"/>
    </xf>
    <xf numFmtId="0" fontId="13" fillId="0" borderId="36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/>
    </xf>
    <xf numFmtId="0" fontId="13" fillId="0" borderId="37" xfId="0" applyFont="1" applyBorder="1" applyAlignment="1">
      <alignment horizontal="justify" vertical="top"/>
    </xf>
    <xf numFmtId="0" fontId="3" fillId="0" borderId="2" xfId="0" applyFont="1" applyBorder="1" applyAlignment="1">
      <alignment horizontal="justify" vertical="top"/>
    </xf>
    <xf numFmtId="0" fontId="13" fillId="0" borderId="1" xfId="0" applyFont="1" applyBorder="1" applyAlignment="1">
      <alignment horizontal="justify" vertical="top"/>
    </xf>
    <xf numFmtId="0" fontId="13" fillId="0" borderId="38" xfId="0" applyFont="1" applyBorder="1" applyAlignment="1">
      <alignment horizontal="justify" vertical="top" wrapText="1"/>
    </xf>
    <xf numFmtId="0" fontId="13" fillId="0" borderId="39" xfId="0" applyFont="1" applyBorder="1" applyAlignment="1">
      <alignment horizontal="justify" vertical="top" wrapText="1"/>
    </xf>
    <xf numFmtId="0" fontId="1" fillId="0" borderId="42" xfId="0" applyFont="1" applyBorder="1" applyAlignment="1"/>
    <xf numFmtId="0" fontId="1" fillId="0" borderId="43" xfId="0" applyFont="1" applyBorder="1" applyAlignment="1"/>
    <xf numFmtId="0" fontId="13" fillId="0" borderId="40" xfId="0" applyFont="1" applyBorder="1" applyAlignment="1">
      <alignment horizontal="justify" vertical="top"/>
    </xf>
    <xf numFmtId="0" fontId="1" fillId="0" borderId="44" xfId="0" applyFont="1" applyBorder="1" applyAlignment="1"/>
    <xf numFmtId="0" fontId="13" fillId="0" borderId="41" xfId="0" applyFont="1" applyBorder="1" applyAlignment="1">
      <alignment horizontal="justify" vertical="top"/>
    </xf>
    <xf numFmtId="0" fontId="1" fillId="0" borderId="45" xfId="0" applyFont="1" applyBorder="1" applyAlignment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>
      <alignment horizontal="center"/>
    </xf>
    <xf numFmtId="0" fontId="8" fillId="5" borderId="0" xfId="0" applyFont="1" applyFill="1" applyAlignment="1">
      <alignment horizontal="center"/>
    </xf>
    <xf numFmtId="0" fontId="3" fillId="0" borderId="6" xfId="0" applyFont="1" applyBorder="1" applyAlignment="1" applyProtection="1">
      <alignment horizontal="center" vertical="top" wrapText="1"/>
      <protection locked="0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6" xfId="0" applyFont="1" applyBorder="1" applyAlignment="1" applyProtection="1">
      <alignment horizontal="center" vertical="top"/>
      <protection locked="0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2">
    <cellStyle name="*unknown*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69F9-29C8-45EA-86B9-331DA9115E20}">
  <sheetPr>
    <pageSetUpPr fitToPage="1"/>
  </sheetPr>
  <dimension ref="A1:DG99"/>
  <sheetViews>
    <sheetView zoomScale="70" zoomScaleNormal="70" workbookViewId="0">
      <selection activeCell="D56" sqref="D56"/>
    </sheetView>
  </sheetViews>
  <sheetFormatPr defaultColWidth="11" defaultRowHeight="12.75" zeroHeight="1" x14ac:dyDescent="0.2"/>
  <cols>
    <col min="1" max="1" width="9.5703125" style="1" customWidth="1"/>
    <col min="2" max="2" width="46" style="1" customWidth="1"/>
    <col min="3" max="3" width="7.42578125" style="1" customWidth="1"/>
    <col min="4" max="4" width="28.140625" style="1" customWidth="1"/>
    <col min="5" max="6" width="14.140625" style="1" customWidth="1"/>
    <col min="7" max="11" width="11" style="1"/>
    <col min="12" max="12" width="9.140625" style="1" customWidth="1"/>
    <col min="13" max="13" width="36.28515625" style="1" customWidth="1"/>
    <col min="14" max="14" width="10.5703125" style="1" customWidth="1"/>
    <col min="15" max="17" width="11" style="1"/>
    <col min="18" max="18" width="13.28515625" style="1" customWidth="1"/>
    <col min="19" max="19" width="11" style="1"/>
    <col min="20" max="20" width="13" style="1" customWidth="1"/>
    <col min="21" max="23" width="11" style="1"/>
    <col min="24" max="24" width="38.5703125" style="1" customWidth="1"/>
    <col min="25" max="25" width="11" style="1"/>
    <col min="26" max="26" width="11.5703125" style="1" customWidth="1"/>
    <col min="27" max="28" width="11" style="1"/>
    <col min="29" max="29" width="13" style="1" customWidth="1"/>
    <col min="30" max="30" width="14.5703125" style="1" customWidth="1"/>
    <col min="31" max="33" width="11" style="1"/>
    <col min="34" max="35" width="12.42578125" style="1" customWidth="1"/>
    <col min="36" max="38" width="11" style="1"/>
    <col min="39" max="39" width="39.7109375" style="1" customWidth="1"/>
    <col min="40" max="40" width="12.140625" style="1" customWidth="1"/>
    <col min="41" max="41" width="12.5703125" style="1" customWidth="1"/>
    <col min="42" max="44" width="11" style="1"/>
    <col min="45" max="45" width="13.42578125" style="1" customWidth="1"/>
    <col min="46" max="48" width="11" style="1"/>
    <col min="49" max="49" width="12" style="1" customWidth="1"/>
    <col min="50" max="50" width="12.140625" style="1" customWidth="1"/>
    <col min="51" max="52" width="11" style="1"/>
    <col min="53" max="53" width="33.42578125" style="1" customWidth="1"/>
    <col min="54" max="54" width="14.28515625" style="1" customWidth="1"/>
    <col min="55" max="55" width="18.140625" style="2" customWidth="1"/>
    <col min="56" max="56" width="17.140625" style="1" customWidth="1"/>
    <col min="57" max="57" width="15" style="1" customWidth="1"/>
    <col min="58" max="58" width="18.42578125" style="1" customWidth="1"/>
    <col min="59" max="59" width="18.28515625" style="1" customWidth="1"/>
    <col min="60" max="62" width="11" style="1"/>
    <col min="63" max="63" width="37.7109375" style="1" customWidth="1"/>
    <col min="64" max="64" width="7.28515625" style="1" customWidth="1"/>
    <col min="65" max="65" width="11" style="1"/>
    <col min="66" max="69" width="12.28515625" style="1" customWidth="1"/>
    <col min="70" max="70" width="12.85546875" style="1" customWidth="1"/>
    <col min="71" max="72" width="11" style="1"/>
    <col min="73" max="73" width="11.28515625" style="1" customWidth="1"/>
    <col min="74" max="74" width="41" style="1" customWidth="1"/>
    <col min="75" max="75" width="11" style="1"/>
    <col min="76" max="76" width="14.28515625" style="1" customWidth="1"/>
    <col min="77" max="77" width="11" style="1"/>
    <col min="78" max="78" width="12.42578125" style="1" customWidth="1"/>
    <col min="79" max="87" width="11" style="1"/>
    <col min="88" max="88" width="9.7109375" style="1" customWidth="1"/>
    <col min="89" max="89" width="30.5703125" style="1" customWidth="1"/>
    <col min="90" max="90" width="12.7109375" style="1" customWidth="1"/>
    <col min="91" max="91" width="13.28515625" style="1" customWidth="1"/>
    <col min="92" max="92" width="13.42578125" style="1" customWidth="1"/>
    <col min="93" max="93" width="12.85546875" style="1" customWidth="1"/>
    <col min="94" max="94" width="13.28515625" style="1" customWidth="1"/>
    <col min="95" max="95" width="13.140625" style="1" customWidth="1"/>
    <col min="96" max="96" width="12.85546875" style="1" customWidth="1"/>
    <col min="97" max="97" width="16.85546875" style="1" customWidth="1"/>
    <col min="98" max="98" width="18.85546875" style="1" customWidth="1"/>
    <col min="99" max="99" width="13.85546875" style="1" customWidth="1"/>
    <col min="100" max="100" width="12.85546875" style="1" customWidth="1"/>
    <col min="101" max="101" width="23.140625" style="1" customWidth="1"/>
    <col min="102" max="102" width="13.28515625" style="1" customWidth="1"/>
    <col min="103" max="103" width="11" style="1"/>
    <col min="104" max="104" width="29" style="1" customWidth="1"/>
    <col min="105" max="111" width="11" style="1"/>
  </cols>
  <sheetData>
    <row r="1" spans="2:111" ht="15.75" customHeight="1" thickBot="1" x14ac:dyDescent="0.25">
      <c r="B1" s="218" t="s">
        <v>0</v>
      </c>
      <c r="C1" s="218"/>
      <c r="D1" s="218"/>
      <c r="E1" s="218"/>
      <c r="F1" s="218"/>
      <c r="CT1" s="1" t="s">
        <v>1</v>
      </c>
    </row>
    <row r="2" spans="2:111" ht="15" customHeight="1" thickBot="1" x14ac:dyDescent="0.3">
      <c r="B2" s="219" t="s">
        <v>2</v>
      </c>
      <c r="C2" s="219"/>
      <c r="D2" s="219"/>
      <c r="E2" s="219"/>
      <c r="F2" s="219"/>
      <c r="L2" s="172" t="s">
        <v>3</v>
      </c>
      <c r="M2" s="172"/>
      <c r="N2" s="172"/>
      <c r="O2" s="172"/>
      <c r="P2" s="172"/>
      <c r="Q2" s="172"/>
      <c r="R2" s="172"/>
      <c r="S2" s="172"/>
      <c r="T2" s="172"/>
      <c r="U2" s="5"/>
      <c r="W2" s="206" t="s">
        <v>4</v>
      </c>
      <c r="X2" s="206"/>
      <c r="Y2" s="206"/>
      <c r="Z2" s="206"/>
      <c r="AA2" s="206"/>
      <c r="AB2" s="206"/>
      <c r="AC2" s="206"/>
      <c r="AD2" s="206"/>
      <c r="AE2" s="6"/>
      <c r="AF2" s="6"/>
      <c r="AG2" s="6"/>
      <c r="AH2" s="6"/>
      <c r="AI2" s="6"/>
      <c r="AJ2" s="5"/>
      <c r="AK2" s="5"/>
      <c r="AL2" s="206" t="s">
        <v>5</v>
      </c>
      <c r="AM2" s="206"/>
      <c r="AN2" s="206"/>
      <c r="AO2" s="206"/>
      <c r="AP2" s="206"/>
      <c r="AQ2" s="206"/>
      <c r="AR2" s="206"/>
      <c r="AS2" s="206"/>
      <c r="AT2" s="5"/>
      <c r="AU2" s="5"/>
      <c r="AV2" s="5"/>
      <c r="AW2" s="5"/>
      <c r="AX2" s="5"/>
      <c r="AY2" s="5"/>
      <c r="AZ2" s="5"/>
      <c r="BA2" s="172" t="s">
        <v>6</v>
      </c>
      <c r="BB2" s="172"/>
      <c r="BC2" s="172"/>
      <c r="BD2" s="172"/>
      <c r="BE2" s="172"/>
      <c r="BF2" s="172"/>
      <c r="BG2" s="172"/>
      <c r="BJ2" s="172" t="s">
        <v>7</v>
      </c>
      <c r="BK2" s="172"/>
      <c r="BL2" s="172"/>
      <c r="BM2" s="172"/>
      <c r="BN2" s="172"/>
      <c r="BO2" s="172"/>
      <c r="BP2" s="172"/>
      <c r="BQ2" s="172"/>
      <c r="BR2" s="172"/>
      <c r="CJ2" s="215" t="s">
        <v>8</v>
      </c>
      <c r="CK2" s="215"/>
      <c r="CL2" s="215"/>
      <c r="CM2" s="215"/>
      <c r="CN2" s="215"/>
      <c r="CO2" s="215"/>
      <c r="CP2" s="215"/>
      <c r="CQ2" s="215"/>
      <c r="CR2" s="215"/>
    </row>
    <row r="3" spans="2:111" ht="24" customHeight="1" thickBot="1" x14ac:dyDescent="0.3">
      <c r="B3" s="216" t="s">
        <v>9</v>
      </c>
      <c r="C3" s="216"/>
      <c r="D3" s="216"/>
      <c r="E3" s="216"/>
      <c r="F3" s="216"/>
      <c r="L3" s="5"/>
      <c r="M3" s="5" t="s">
        <v>10</v>
      </c>
      <c r="N3" s="5"/>
      <c r="O3" s="5"/>
      <c r="P3" s="5"/>
      <c r="Q3" s="5"/>
      <c r="R3" s="5"/>
      <c r="S3" s="5"/>
      <c r="T3" s="5"/>
      <c r="U3" s="5"/>
      <c r="W3" s="8"/>
      <c r="X3" s="5"/>
      <c r="Y3" s="5"/>
      <c r="Z3" s="9"/>
      <c r="AA3" s="9"/>
      <c r="AB3" s="5"/>
      <c r="AC3" s="5"/>
      <c r="AD3" s="5"/>
      <c r="AE3" s="5"/>
      <c r="AF3" s="5"/>
      <c r="AG3" s="5"/>
      <c r="AH3" s="5"/>
      <c r="AI3" s="5"/>
      <c r="AJ3" s="5"/>
      <c r="AK3" s="5"/>
      <c r="AL3" s="8"/>
      <c r="AM3" s="5"/>
      <c r="AN3" s="5"/>
      <c r="AO3" s="9"/>
      <c r="AP3" s="9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10"/>
      <c r="BD3" s="5"/>
      <c r="BE3" s="5"/>
      <c r="BF3" s="5"/>
      <c r="BG3" s="5"/>
      <c r="BJ3" s="5"/>
      <c r="BK3" s="5"/>
      <c r="BL3" s="5"/>
      <c r="BM3" s="5"/>
      <c r="BN3" s="5"/>
      <c r="BO3" s="5"/>
      <c r="BP3" s="5"/>
      <c r="BQ3" s="5"/>
      <c r="BR3" s="5"/>
      <c r="BU3" s="215" t="s">
        <v>11</v>
      </c>
      <c r="BV3" s="215"/>
      <c r="BW3" s="215"/>
      <c r="BX3" s="215"/>
      <c r="BY3" s="215"/>
      <c r="BZ3" s="215"/>
      <c r="CA3" s="215"/>
      <c r="CB3" s="215"/>
      <c r="CC3" s="215"/>
      <c r="CD3" s="5"/>
      <c r="CE3" s="5"/>
      <c r="CF3" s="5"/>
      <c r="CG3" s="5"/>
      <c r="CH3" s="5"/>
      <c r="CJ3" s="172" t="s">
        <v>12</v>
      </c>
      <c r="CK3" s="172"/>
      <c r="CL3" s="172"/>
      <c r="CM3" s="172"/>
      <c r="CN3" s="172"/>
      <c r="CO3" s="172"/>
      <c r="CP3" s="172"/>
      <c r="CQ3" s="172"/>
      <c r="CR3" s="172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</row>
    <row r="4" spans="2:111" ht="42.75" customHeight="1" thickBot="1" x14ac:dyDescent="0.3">
      <c r="B4" s="11" t="s">
        <v>13</v>
      </c>
      <c r="C4" s="217" t="s">
        <v>150</v>
      </c>
      <c r="D4" s="217"/>
      <c r="E4" s="12" t="s">
        <v>14</v>
      </c>
      <c r="F4" s="13"/>
      <c r="L4" s="174" t="s">
        <v>15</v>
      </c>
      <c r="M4" s="175" t="s">
        <v>16</v>
      </c>
      <c r="N4" s="175" t="s">
        <v>17</v>
      </c>
      <c r="O4" s="14" t="s">
        <v>18</v>
      </c>
      <c r="P4" s="175" t="s">
        <v>19</v>
      </c>
      <c r="Q4" s="175"/>
      <c r="R4" s="175" t="s">
        <v>20</v>
      </c>
      <c r="S4" s="175"/>
      <c r="T4" s="178" t="s">
        <v>21</v>
      </c>
      <c r="U4" s="5"/>
      <c r="W4" s="15" t="s">
        <v>22</v>
      </c>
      <c r="X4" s="16" t="s">
        <v>23</v>
      </c>
      <c r="Y4" s="17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8" t="s">
        <v>29</v>
      </c>
      <c r="AE4" s="5"/>
      <c r="AF4" s="19"/>
      <c r="AG4" s="5"/>
      <c r="AH4" s="19"/>
      <c r="AI4" s="5"/>
      <c r="AJ4" s="5"/>
      <c r="AK4" s="5"/>
      <c r="AL4" s="15" t="s">
        <v>22</v>
      </c>
      <c r="AM4" s="16" t="s">
        <v>23</v>
      </c>
      <c r="AN4" s="17" t="s">
        <v>24</v>
      </c>
      <c r="AO4" s="20" t="s">
        <v>30</v>
      </c>
      <c r="AP4" s="16" t="s">
        <v>26</v>
      </c>
      <c r="AQ4" s="16" t="s">
        <v>27</v>
      </c>
      <c r="AR4" s="16" t="s">
        <v>28</v>
      </c>
      <c r="AS4" s="18" t="s">
        <v>29</v>
      </c>
      <c r="AT4" s="5"/>
      <c r="AU4" s="5"/>
      <c r="AV4" s="5"/>
      <c r="AW4" s="5"/>
      <c r="AX4" s="5"/>
      <c r="AY4" s="5"/>
      <c r="AZ4" s="5"/>
      <c r="BA4" s="21" t="s">
        <v>31</v>
      </c>
      <c r="BB4" s="22" t="s">
        <v>32</v>
      </c>
      <c r="BC4" s="23" t="s">
        <v>33</v>
      </c>
      <c r="BD4" s="23" t="s">
        <v>34</v>
      </c>
      <c r="BE4" s="23" t="s">
        <v>35</v>
      </c>
      <c r="BF4" s="23" t="s">
        <v>36</v>
      </c>
      <c r="BG4" s="24" t="s">
        <v>37</v>
      </c>
      <c r="BJ4" s="200" t="s">
        <v>38</v>
      </c>
      <c r="BK4" s="201" t="s">
        <v>16</v>
      </c>
      <c r="BL4" s="201" t="s">
        <v>17</v>
      </c>
      <c r="BM4" s="25" t="s">
        <v>18</v>
      </c>
      <c r="BN4" s="201" t="s">
        <v>19</v>
      </c>
      <c r="BO4" s="201"/>
      <c r="BP4" s="201" t="s">
        <v>20</v>
      </c>
      <c r="BQ4" s="201"/>
      <c r="BR4" s="203" t="s">
        <v>21</v>
      </c>
      <c r="BU4" s="172" t="s">
        <v>12</v>
      </c>
      <c r="BV4" s="172"/>
      <c r="BW4" s="172"/>
      <c r="BX4" s="172"/>
      <c r="BY4" s="172"/>
      <c r="BZ4" s="172"/>
      <c r="CA4" s="172"/>
      <c r="CB4" s="172"/>
      <c r="CC4" s="172"/>
      <c r="CD4" s="5"/>
      <c r="CE4" s="5"/>
      <c r="CF4" s="5"/>
      <c r="CG4" s="5"/>
      <c r="CH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26" t="s">
        <v>39</v>
      </c>
      <c r="CU4" s="27"/>
      <c r="CW4" s="28" t="s">
        <v>40</v>
      </c>
      <c r="CX4" s="27"/>
      <c r="CZ4" s="28" t="s">
        <v>41</v>
      </c>
      <c r="DA4" s="29"/>
      <c r="DB4" s="5"/>
      <c r="DC4" s="5"/>
      <c r="DD4" s="5"/>
      <c r="DE4" s="5"/>
      <c r="DF4" s="5"/>
      <c r="DG4" s="5"/>
    </row>
    <row r="5" spans="2:111" ht="15" customHeight="1" thickBot="1" x14ac:dyDescent="0.3">
      <c r="B5" s="11" t="s">
        <v>151</v>
      </c>
      <c r="C5" s="12"/>
      <c r="D5" s="12" t="s">
        <v>42</v>
      </c>
      <c r="E5" s="30"/>
      <c r="F5" s="13"/>
      <c r="L5" s="174"/>
      <c r="M5" s="175"/>
      <c r="N5" s="175"/>
      <c r="O5" s="31" t="s">
        <v>43</v>
      </c>
      <c r="P5" s="31" t="s">
        <v>44</v>
      </c>
      <c r="Q5" s="31" t="s">
        <v>45</v>
      </c>
      <c r="R5" s="31" t="s">
        <v>44</v>
      </c>
      <c r="S5" s="31" t="s">
        <v>45</v>
      </c>
      <c r="T5" s="178"/>
      <c r="U5" s="5"/>
      <c r="W5" s="32"/>
      <c r="X5" s="33"/>
      <c r="Y5" s="34"/>
      <c r="Z5" s="35"/>
      <c r="AA5" s="36"/>
      <c r="AB5" s="37"/>
      <c r="AC5" s="36"/>
      <c r="AD5" s="38"/>
      <c r="AE5" s="5"/>
      <c r="AF5" s="5"/>
      <c r="AG5" s="10"/>
      <c r="AH5" s="214"/>
      <c r="AI5" s="214"/>
      <c r="AJ5" s="5" t="s">
        <v>46</v>
      </c>
      <c r="AK5" s="5"/>
      <c r="AL5" s="32"/>
      <c r="AM5" s="33"/>
      <c r="AN5" s="34"/>
      <c r="AO5" s="35"/>
      <c r="AP5" s="36"/>
      <c r="AQ5" s="37"/>
      <c r="AR5" s="36"/>
      <c r="AS5" s="38"/>
      <c r="AT5" s="5"/>
      <c r="AU5" s="5"/>
      <c r="AV5" s="5"/>
      <c r="AW5" s="5"/>
      <c r="AX5" s="5"/>
      <c r="AY5" s="5"/>
      <c r="AZ5" s="5"/>
      <c r="BA5" s="40" t="s">
        <v>47</v>
      </c>
      <c r="BB5" s="41">
        <v>5</v>
      </c>
      <c r="BC5" s="42" t="s">
        <v>48</v>
      </c>
      <c r="BD5" s="35">
        <v>2660</v>
      </c>
      <c r="BE5" s="43">
        <f t="shared" ref="BE5:BE35" si="0">BD5/190.6</f>
        <v>13.955928646379853</v>
      </c>
      <c r="BF5" s="35">
        <v>8</v>
      </c>
      <c r="BG5" s="44">
        <f t="shared" ref="BG5:BG35" si="1">BE5*BF5*BB5</f>
        <v>558.23714585519406</v>
      </c>
      <c r="BJ5" s="200"/>
      <c r="BK5" s="201"/>
      <c r="BL5" s="201"/>
      <c r="BM5" s="45" t="s">
        <v>43</v>
      </c>
      <c r="BN5" s="45" t="s">
        <v>44</v>
      </c>
      <c r="BO5" s="45" t="s">
        <v>45</v>
      </c>
      <c r="BP5" s="45" t="s">
        <v>44</v>
      </c>
      <c r="BQ5" s="45" t="s">
        <v>45</v>
      </c>
      <c r="BR5" s="203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J5" s="213" t="s">
        <v>15</v>
      </c>
      <c r="CK5" s="212" t="s">
        <v>23</v>
      </c>
      <c r="CL5" s="212" t="s">
        <v>49</v>
      </c>
      <c r="CM5" s="212" t="s">
        <v>43</v>
      </c>
      <c r="CN5" s="197" t="s">
        <v>19</v>
      </c>
      <c r="CO5" s="197"/>
      <c r="CP5" s="198" t="s">
        <v>20</v>
      </c>
      <c r="CQ5" s="198"/>
      <c r="CR5" s="198"/>
      <c r="CS5" s="46"/>
      <c r="CT5" s="28"/>
      <c r="CU5" s="47"/>
      <c r="CW5" s="28"/>
      <c r="CX5" s="47"/>
      <c r="CZ5" s="28"/>
      <c r="DA5" s="28"/>
      <c r="DB5" s="46"/>
      <c r="DC5" s="46"/>
      <c r="DD5" s="46"/>
      <c r="DE5" s="46"/>
      <c r="DF5" s="46"/>
      <c r="DG5" s="46"/>
    </row>
    <row r="6" spans="2:111" ht="15" customHeight="1" thickBot="1" x14ac:dyDescent="0.3">
      <c r="B6" s="48" t="s">
        <v>50</v>
      </c>
      <c r="C6" s="210"/>
      <c r="D6" s="210"/>
      <c r="E6" s="210"/>
      <c r="F6" s="210"/>
      <c r="L6" s="40"/>
      <c r="M6" s="49" t="s">
        <v>146</v>
      </c>
      <c r="N6" s="42" t="s">
        <v>51</v>
      </c>
      <c r="O6" s="42">
        <v>15</v>
      </c>
      <c r="P6" s="1">
        <v>3200</v>
      </c>
      <c r="Q6" s="35"/>
      <c r="R6" s="50">
        <f>O6*P6</f>
        <v>48000</v>
      </c>
      <c r="S6" s="50">
        <f>O6*Q6</f>
        <v>0</v>
      </c>
      <c r="T6" s="51">
        <f t="shared" ref="T6:T13" si="2">(R6+S6)</f>
        <v>48000</v>
      </c>
      <c r="U6" s="5"/>
      <c r="W6" s="32"/>
      <c r="X6" s="33"/>
      <c r="Y6" s="34"/>
      <c r="Z6" s="35"/>
      <c r="AA6" s="52"/>
      <c r="AB6" s="37"/>
      <c r="AC6" s="36"/>
      <c r="AD6" s="38"/>
      <c r="AE6" s="5"/>
      <c r="AF6" s="5"/>
      <c r="AG6" s="10"/>
      <c r="AH6" s="39"/>
      <c r="AI6" s="4"/>
      <c r="AJ6" s="5"/>
      <c r="AK6" s="5"/>
      <c r="AL6" s="32"/>
      <c r="AM6" s="33"/>
      <c r="AN6" s="34"/>
      <c r="AO6" s="35"/>
      <c r="AP6" s="36"/>
      <c r="AQ6" s="37"/>
      <c r="AR6" s="36"/>
      <c r="AS6" s="38"/>
      <c r="AT6" s="5"/>
      <c r="AU6" s="5"/>
      <c r="AV6" s="5"/>
      <c r="AW6" s="5"/>
      <c r="AX6" s="5"/>
      <c r="AY6" s="5"/>
      <c r="AZ6" s="5"/>
      <c r="BA6" s="40" t="s">
        <v>47</v>
      </c>
      <c r="BB6" s="41">
        <v>1</v>
      </c>
      <c r="BC6" s="42" t="s">
        <v>52</v>
      </c>
      <c r="BD6" s="35">
        <v>2810</v>
      </c>
      <c r="BE6" s="43">
        <f t="shared" si="0"/>
        <v>14.742917103882476</v>
      </c>
      <c r="BF6" s="35">
        <v>8</v>
      </c>
      <c r="BG6" s="44">
        <f t="shared" si="1"/>
        <v>117.94333683105981</v>
      </c>
      <c r="BJ6" s="40"/>
      <c r="BK6" s="49"/>
      <c r="BL6" s="42"/>
      <c r="BM6" s="42"/>
      <c r="BN6" s="35"/>
      <c r="BO6" s="35"/>
      <c r="BP6" s="53">
        <f t="shared" ref="BP6:BP30" si="3">BM6*BN6</f>
        <v>0</v>
      </c>
      <c r="BQ6" s="53">
        <f t="shared" ref="BQ6:BQ30" si="4">BM6*BO6</f>
        <v>0</v>
      </c>
      <c r="BR6" s="44">
        <f t="shared" ref="BR6:BR30" si="5">BP6+BQ6</f>
        <v>0</v>
      </c>
      <c r="BU6" s="213" t="s">
        <v>15</v>
      </c>
      <c r="BV6" s="212" t="s">
        <v>23</v>
      </c>
      <c r="BW6" s="212" t="s">
        <v>49</v>
      </c>
      <c r="BX6" s="212" t="s">
        <v>43</v>
      </c>
      <c r="BY6" s="197" t="s">
        <v>19</v>
      </c>
      <c r="BZ6" s="197"/>
      <c r="CA6" s="198" t="s">
        <v>20</v>
      </c>
      <c r="CB6" s="198"/>
      <c r="CC6" s="198"/>
      <c r="CD6" s="46"/>
      <c r="CE6" s="46"/>
      <c r="CF6" s="46"/>
      <c r="CG6" s="46"/>
      <c r="CH6" s="46"/>
      <c r="CJ6" s="213"/>
      <c r="CK6" s="212"/>
      <c r="CL6" s="212"/>
      <c r="CM6" s="212"/>
      <c r="CN6" s="54" t="s">
        <v>44</v>
      </c>
      <c r="CO6" s="54" t="s">
        <v>45</v>
      </c>
      <c r="CP6" s="54" t="s">
        <v>44</v>
      </c>
      <c r="CQ6" s="54" t="s">
        <v>45</v>
      </c>
      <c r="CR6" s="55" t="s">
        <v>21</v>
      </c>
      <c r="CS6" s="46"/>
      <c r="CT6" s="207" t="s">
        <v>53</v>
      </c>
      <c r="CU6" s="207"/>
      <c r="CW6" s="207" t="s">
        <v>53</v>
      </c>
      <c r="CX6" s="207"/>
      <c r="CZ6" s="207" t="s">
        <v>53</v>
      </c>
      <c r="DA6" s="207"/>
      <c r="DB6" s="46"/>
      <c r="DC6" s="46"/>
      <c r="DD6" s="46"/>
      <c r="DE6" s="46"/>
      <c r="DF6" s="46"/>
      <c r="DG6" s="46"/>
    </row>
    <row r="7" spans="2:111" ht="15" customHeight="1" thickBot="1" x14ac:dyDescent="0.3">
      <c r="B7" s="11" t="s">
        <v>54</v>
      </c>
      <c r="C7" s="208" t="s">
        <v>158</v>
      </c>
      <c r="D7" s="208"/>
      <c r="E7" s="208"/>
      <c r="F7" s="208"/>
      <c r="L7" s="40"/>
      <c r="M7" s="49" t="s">
        <v>159</v>
      </c>
      <c r="N7" s="42" t="s">
        <v>51</v>
      </c>
      <c r="O7" s="42">
        <v>15</v>
      </c>
      <c r="P7" s="35">
        <v>3200</v>
      </c>
      <c r="Q7" s="35"/>
      <c r="R7" s="50">
        <f>O7*P7</f>
        <v>48000</v>
      </c>
      <c r="S7" s="50">
        <f>O7*Q7</f>
        <v>0</v>
      </c>
      <c r="T7" s="51">
        <f t="shared" si="2"/>
        <v>48000</v>
      </c>
      <c r="U7" s="5"/>
      <c r="W7" s="56"/>
      <c r="X7" s="57"/>
      <c r="Y7" s="35"/>
      <c r="Z7" s="35"/>
      <c r="AA7" s="36"/>
      <c r="AB7" s="37"/>
      <c r="AC7" s="36"/>
      <c r="AD7" s="38"/>
      <c r="AE7" s="5"/>
      <c r="AF7" s="5"/>
      <c r="AG7" s="10"/>
      <c r="AH7" s="58"/>
      <c r="AI7" s="59"/>
      <c r="AJ7" s="5"/>
      <c r="AK7" s="5"/>
      <c r="AL7" s="56"/>
      <c r="AM7" s="57"/>
      <c r="AN7" s="35"/>
      <c r="AO7" s="35"/>
      <c r="AP7" s="36"/>
      <c r="AQ7" s="37"/>
      <c r="AR7" s="36"/>
      <c r="AS7" s="38"/>
      <c r="AT7" s="5"/>
      <c r="AU7" s="5"/>
      <c r="AV7" s="5"/>
      <c r="AW7" s="5"/>
      <c r="AX7" s="5"/>
      <c r="AY7" s="5"/>
      <c r="AZ7" s="5"/>
      <c r="BA7" s="40" t="s">
        <v>55</v>
      </c>
      <c r="BB7" s="41">
        <v>2</v>
      </c>
      <c r="BC7" s="42" t="s">
        <v>56</v>
      </c>
      <c r="BD7" s="35">
        <v>2660</v>
      </c>
      <c r="BE7" s="43">
        <f t="shared" si="0"/>
        <v>13.955928646379853</v>
      </c>
      <c r="BF7" s="35">
        <v>8</v>
      </c>
      <c r="BG7" s="44">
        <f t="shared" si="1"/>
        <v>223.29485834207765</v>
      </c>
      <c r="BJ7" s="40"/>
      <c r="BK7" s="49"/>
      <c r="BL7" s="42"/>
      <c r="BM7" s="42"/>
      <c r="BN7" s="35"/>
      <c r="BO7" s="35"/>
      <c r="BP7" s="53">
        <f t="shared" si="3"/>
        <v>0</v>
      </c>
      <c r="BQ7" s="53">
        <f t="shared" si="4"/>
        <v>0</v>
      </c>
      <c r="BR7" s="44">
        <f t="shared" si="5"/>
        <v>0</v>
      </c>
      <c r="BU7" s="213"/>
      <c r="BV7" s="212"/>
      <c r="BW7" s="212"/>
      <c r="BX7" s="212"/>
      <c r="BY7" s="54" t="s">
        <v>44</v>
      </c>
      <c r="BZ7" s="54" t="s">
        <v>45</v>
      </c>
      <c r="CA7" s="54" t="s">
        <v>44</v>
      </c>
      <c r="CB7" s="54" t="s">
        <v>45</v>
      </c>
      <c r="CC7" s="55" t="s">
        <v>21</v>
      </c>
      <c r="CD7" s="46"/>
      <c r="CE7" s="46"/>
      <c r="CF7" s="46"/>
      <c r="CG7" s="46"/>
      <c r="CH7" s="46"/>
      <c r="CJ7" s="40"/>
      <c r="CK7" s="57" t="s">
        <v>57</v>
      </c>
      <c r="CL7" s="57" t="s">
        <v>58</v>
      </c>
      <c r="CM7" s="57">
        <v>56</v>
      </c>
      <c r="CN7" s="35">
        <v>25</v>
      </c>
      <c r="CO7" s="35"/>
      <c r="CP7" s="60">
        <f t="shared" ref="CP7:CP13" si="6">CM7*CN7</f>
        <v>1400</v>
      </c>
      <c r="CQ7" s="60">
        <f t="shared" ref="CQ7:CQ13" si="7">CM7*CO7</f>
        <v>0</v>
      </c>
      <c r="CR7" s="61">
        <f t="shared" ref="CR7:CR13" si="8">CP7+CQ7</f>
        <v>1400</v>
      </c>
      <c r="CS7" s="5"/>
      <c r="CT7" s="26" t="s">
        <v>1</v>
      </c>
      <c r="CU7" s="62"/>
      <c r="CW7" s="26" t="s">
        <v>1</v>
      </c>
      <c r="CX7" s="63"/>
      <c r="CZ7" s="26" t="s">
        <v>1</v>
      </c>
      <c r="DA7" s="63"/>
      <c r="DB7" s="5"/>
      <c r="DC7" s="5"/>
      <c r="DD7" s="5"/>
      <c r="DE7" s="5"/>
      <c r="DF7" s="5"/>
      <c r="DG7" s="5"/>
    </row>
    <row r="8" spans="2:111" ht="15" customHeight="1" thickBot="1" x14ac:dyDescent="0.25">
      <c r="B8" s="209" t="s">
        <v>59</v>
      </c>
      <c r="C8" s="209"/>
      <c r="D8" s="209"/>
      <c r="E8" s="209"/>
      <c r="F8" s="209"/>
      <c r="L8" s="40"/>
      <c r="M8" s="49" t="s">
        <v>60</v>
      </c>
      <c r="N8" s="42" t="s">
        <v>51</v>
      </c>
      <c r="O8" s="42">
        <v>442.01</v>
      </c>
      <c r="P8" s="35">
        <v>384</v>
      </c>
      <c r="Q8" s="35"/>
      <c r="R8" s="50">
        <f>O8*P8</f>
        <v>169731.84</v>
      </c>
      <c r="S8" s="50">
        <f>O8*Q8</f>
        <v>0</v>
      </c>
      <c r="T8" s="51">
        <f t="shared" si="2"/>
        <v>169731.84</v>
      </c>
      <c r="U8" s="5"/>
      <c r="W8" s="56"/>
      <c r="X8" s="57"/>
      <c r="Y8" s="35"/>
      <c r="Z8" s="35"/>
      <c r="AA8" s="36"/>
      <c r="AB8" s="37"/>
      <c r="AC8" s="36"/>
      <c r="AD8" s="38"/>
      <c r="AE8" s="5"/>
      <c r="AF8" s="5"/>
      <c r="AG8" s="10"/>
      <c r="AH8" s="64"/>
      <c r="AI8" s="5"/>
      <c r="AJ8" s="5"/>
      <c r="AK8" s="5"/>
      <c r="AL8" s="56"/>
      <c r="AM8" s="57"/>
      <c r="AN8" s="35"/>
      <c r="AO8" s="35"/>
      <c r="AP8" s="36"/>
      <c r="AQ8" s="37"/>
      <c r="AR8" s="36"/>
      <c r="AS8" s="38"/>
      <c r="AT8" s="5"/>
      <c r="AU8" s="5"/>
      <c r="AV8" s="5"/>
      <c r="AW8" s="5"/>
      <c r="AX8" s="5"/>
      <c r="AY8" s="5"/>
      <c r="AZ8" s="5"/>
      <c r="BA8" s="40"/>
      <c r="BB8" s="41"/>
      <c r="BC8" s="42"/>
      <c r="BD8" s="35"/>
      <c r="BE8" s="43">
        <f t="shared" si="0"/>
        <v>0</v>
      </c>
      <c r="BF8" s="35"/>
      <c r="BG8" s="44">
        <f t="shared" si="1"/>
        <v>0</v>
      </c>
      <c r="BJ8" s="40"/>
      <c r="BK8" s="49"/>
      <c r="BL8" s="42"/>
      <c r="BM8" s="42"/>
      <c r="BN8" s="35"/>
      <c r="BO8" s="35"/>
      <c r="BP8" s="53">
        <f t="shared" si="3"/>
        <v>0</v>
      </c>
      <c r="BQ8" s="53">
        <f t="shared" si="4"/>
        <v>0</v>
      </c>
      <c r="BR8" s="44">
        <f t="shared" si="5"/>
        <v>0</v>
      </c>
      <c r="BU8" s="40"/>
      <c r="BV8" s="57"/>
      <c r="BW8" s="57"/>
      <c r="BX8" s="57"/>
      <c r="BY8" s="35"/>
      <c r="BZ8" s="35"/>
      <c r="CA8" s="60">
        <f t="shared" ref="CA8:CA14" si="9">BX8*BY8</f>
        <v>0</v>
      </c>
      <c r="CB8" s="60">
        <f t="shared" ref="CB8:CB14" si="10">BX8*BZ8</f>
        <v>0</v>
      </c>
      <c r="CC8" s="61">
        <f t="shared" ref="CC8:CC14" si="11">CA8+CB8</f>
        <v>0</v>
      </c>
      <c r="CD8" s="5"/>
      <c r="CE8" s="5"/>
      <c r="CF8" s="5"/>
      <c r="CG8" s="5"/>
      <c r="CH8" s="5"/>
      <c r="CJ8" s="40"/>
      <c r="CK8" s="57"/>
      <c r="CL8" s="57"/>
      <c r="CM8" s="57"/>
      <c r="CN8" s="35"/>
      <c r="CO8" s="35"/>
      <c r="CP8" s="60">
        <f t="shared" si="6"/>
        <v>0</v>
      </c>
      <c r="CQ8" s="60">
        <f t="shared" si="7"/>
        <v>0</v>
      </c>
      <c r="CR8" s="61">
        <f t="shared" si="8"/>
        <v>0</v>
      </c>
      <c r="CS8" s="5"/>
      <c r="CT8" s="26" t="s">
        <v>61</v>
      </c>
      <c r="CU8" s="63"/>
      <c r="CW8" s="28"/>
      <c r="CX8" s="63"/>
      <c r="CZ8" s="28"/>
      <c r="DA8" s="47"/>
      <c r="DB8" s="5"/>
      <c r="DC8" s="5"/>
      <c r="DD8" s="5"/>
      <c r="DE8" s="5"/>
      <c r="DF8" s="5"/>
      <c r="DG8" s="5"/>
    </row>
    <row r="9" spans="2:111" ht="15" customHeight="1" thickBot="1" x14ac:dyDescent="0.3">
      <c r="B9" s="210"/>
      <c r="C9" s="210"/>
      <c r="D9" s="211"/>
      <c r="E9" s="211"/>
      <c r="F9" s="211"/>
      <c r="L9" s="40"/>
      <c r="M9" s="49" t="s">
        <v>62</v>
      </c>
      <c r="N9" s="42" t="s">
        <v>51</v>
      </c>
      <c r="O9" s="42">
        <v>16.010000000000002</v>
      </c>
      <c r="P9" s="35">
        <v>80</v>
      </c>
      <c r="Q9" s="35"/>
      <c r="R9" s="50">
        <f>O9*P9</f>
        <v>1280.8000000000002</v>
      </c>
      <c r="S9" s="50">
        <f>O9*Q9</f>
        <v>0</v>
      </c>
      <c r="T9" s="51">
        <f t="shared" si="2"/>
        <v>1280.8000000000002</v>
      </c>
      <c r="U9" s="5"/>
      <c r="W9" s="56"/>
      <c r="X9" s="57"/>
      <c r="Y9" s="35"/>
      <c r="Z9" s="35"/>
      <c r="AA9" s="36"/>
      <c r="AB9" s="37"/>
      <c r="AC9" s="36"/>
      <c r="AD9" s="38"/>
      <c r="AE9" s="5"/>
      <c r="AF9" s="5"/>
      <c r="AG9" s="10"/>
      <c r="AH9" s="64"/>
      <c r="AI9" s="5"/>
      <c r="AJ9" s="5"/>
      <c r="AK9" s="5"/>
      <c r="AL9" s="56"/>
      <c r="AM9" s="57"/>
      <c r="AN9" s="35"/>
      <c r="AO9" s="35"/>
      <c r="AP9" s="36"/>
      <c r="AQ9" s="37"/>
      <c r="AR9" s="36"/>
      <c r="AS9" s="38"/>
      <c r="AT9" s="5"/>
      <c r="AU9" s="5"/>
      <c r="AV9" s="5"/>
      <c r="AW9" s="5"/>
      <c r="AX9" s="5"/>
      <c r="AY9" s="5"/>
      <c r="AZ9" s="5"/>
      <c r="BA9" s="40"/>
      <c r="BB9" s="41"/>
      <c r="BC9" s="42"/>
      <c r="BD9" s="35"/>
      <c r="BE9" s="43">
        <f t="shared" si="0"/>
        <v>0</v>
      </c>
      <c r="BF9" s="35"/>
      <c r="BG9" s="44">
        <f t="shared" si="1"/>
        <v>0</v>
      </c>
      <c r="BJ9" s="40"/>
      <c r="BK9" s="65"/>
      <c r="BL9" s="42"/>
      <c r="BM9" s="42"/>
      <c r="BN9" s="35"/>
      <c r="BO9" s="35"/>
      <c r="BP9" s="53">
        <f t="shared" si="3"/>
        <v>0</v>
      </c>
      <c r="BQ9" s="53">
        <f t="shared" si="4"/>
        <v>0</v>
      </c>
      <c r="BR9" s="44">
        <f t="shared" si="5"/>
        <v>0</v>
      </c>
      <c r="BU9" s="40"/>
      <c r="BV9" s="57"/>
      <c r="BW9" s="57"/>
      <c r="BX9" s="57"/>
      <c r="BY9" s="35"/>
      <c r="BZ9" s="35"/>
      <c r="CA9" s="60">
        <f t="shared" si="9"/>
        <v>0</v>
      </c>
      <c r="CB9" s="60">
        <f t="shared" si="10"/>
        <v>0</v>
      </c>
      <c r="CC9" s="61">
        <f t="shared" si="11"/>
        <v>0</v>
      </c>
      <c r="CD9" s="5"/>
      <c r="CE9" s="5"/>
      <c r="CF9" s="5"/>
      <c r="CG9" s="5"/>
      <c r="CH9" s="5"/>
      <c r="CJ9" s="40"/>
      <c r="CK9" s="57"/>
      <c r="CL9" s="57"/>
      <c r="CM9" s="57"/>
      <c r="CN9" s="35"/>
      <c r="CO9" s="35"/>
      <c r="CP9" s="60">
        <f t="shared" si="6"/>
        <v>0</v>
      </c>
      <c r="CQ9" s="60">
        <f t="shared" si="7"/>
        <v>0</v>
      </c>
      <c r="CR9" s="61">
        <f t="shared" si="8"/>
        <v>0</v>
      </c>
      <c r="CS9" s="5"/>
      <c r="CT9" s="26" t="s">
        <v>63</v>
      </c>
      <c r="CU9" s="63"/>
      <c r="CW9" s="28"/>
      <c r="CX9" s="63"/>
      <c r="CZ9" s="28"/>
      <c r="DA9" s="47"/>
      <c r="DB9" s="5"/>
      <c r="DC9" s="5"/>
      <c r="DD9" s="5"/>
      <c r="DE9" s="5"/>
      <c r="DF9" s="5"/>
      <c r="DG9" s="5"/>
    </row>
    <row r="10" spans="2:111" ht="15" customHeight="1" thickBot="1" x14ac:dyDescent="0.25">
      <c r="B10" s="204" t="s">
        <v>64</v>
      </c>
      <c r="C10" s="204"/>
      <c r="D10" s="66">
        <v>2200</v>
      </c>
      <c r="E10" s="205" t="s">
        <v>148</v>
      </c>
      <c r="F10" s="205"/>
      <c r="L10" s="40"/>
      <c r="M10" s="49" t="s">
        <v>147</v>
      </c>
      <c r="N10" s="42" t="s">
        <v>51</v>
      </c>
      <c r="O10" s="42">
        <v>70.099999999999994</v>
      </c>
      <c r="P10" s="35">
        <v>720</v>
      </c>
      <c r="Q10" s="35"/>
      <c r="R10" s="50">
        <f>O9*P9</f>
        <v>1280.8000000000002</v>
      </c>
      <c r="S10" s="50">
        <f>O9*Q10</f>
        <v>0</v>
      </c>
      <c r="T10" s="51">
        <f t="shared" si="2"/>
        <v>1280.8000000000002</v>
      </c>
      <c r="U10" s="5"/>
      <c r="W10" s="56"/>
      <c r="X10" s="57"/>
      <c r="Y10" s="35"/>
      <c r="Z10" s="35"/>
      <c r="AA10" s="36"/>
      <c r="AB10" s="37"/>
      <c r="AC10" s="36"/>
      <c r="AD10" s="38"/>
      <c r="AE10" s="5"/>
      <c r="AF10" s="5"/>
      <c r="AG10" s="10"/>
      <c r="AH10" s="64"/>
      <c r="AI10" s="5"/>
      <c r="AJ10" s="5"/>
      <c r="AK10" s="5"/>
      <c r="AL10" s="56"/>
      <c r="AM10" s="57"/>
      <c r="AN10" s="35"/>
      <c r="AO10" s="35"/>
      <c r="AP10" s="36"/>
      <c r="AQ10" s="37"/>
      <c r="AR10" s="36"/>
      <c r="AS10" s="38"/>
      <c r="AT10" s="5"/>
      <c r="AU10" s="5"/>
      <c r="AV10" s="5"/>
      <c r="AW10" s="5"/>
      <c r="AX10" s="5"/>
      <c r="AY10" s="5"/>
      <c r="AZ10" s="5"/>
      <c r="BA10" s="40"/>
      <c r="BB10" s="41"/>
      <c r="BC10" s="42"/>
      <c r="BD10" s="35"/>
      <c r="BE10" s="43">
        <f t="shared" si="0"/>
        <v>0</v>
      </c>
      <c r="BF10" s="35"/>
      <c r="BG10" s="44">
        <f t="shared" si="1"/>
        <v>0</v>
      </c>
      <c r="BJ10" s="40"/>
      <c r="BK10" s="49"/>
      <c r="BL10" s="42"/>
      <c r="BM10" s="42"/>
      <c r="BN10" s="35"/>
      <c r="BO10" s="35"/>
      <c r="BP10" s="53">
        <f t="shared" si="3"/>
        <v>0</v>
      </c>
      <c r="BQ10" s="53">
        <f t="shared" si="4"/>
        <v>0</v>
      </c>
      <c r="BR10" s="44">
        <f t="shared" si="5"/>
        <v>0</v>
      </c>
      <c r="BU10" s="40"/>
      <c r="BV10" s="57"/>
      <c r="BW10" s="57"/>
      <c r="BX10" s="57"/>
      <c r="BY10" s="35"/>
      <c r="BZ10" s="35"/>
      <c r="CA10" s="60">
        <f t="shared" si="9"/>
        <v>0</v>
      </c>
      <c r="CB10" s="60">
        <f t="shared" si="10"/>
        <v>0</v>
      </c>
      <c r="CC10" s="61">
        <f t="shared" si="11"/>
        <v>0</v>
      </c>
      <c r="CD10" s="5"/>
      <c r="CE10" s="5"/>
      <c r="CF10" s="5"/>
      <c r="CG10" s="5"/>
      <c r="CH10" s="5"/>
      <c r="CJ10" s="40"/>
      <c r="CK10" s="57"/>
      <c r="CL10" s="57"/>
      <c r="CM10" s="57"/>
      <c r="CN10" s="35"/>
      <c r="CO10" s="35"/>
      <c r="CP10" s="60">
        <f t="shared" si="6"/>
        <v>0</v>
      </c>
      <c r="CQ10" s="60">
        <f t="shared" si="7"/>
        <v>0</v>
      </c>
      <c r="CR10" s="61">
        <f t="shared" si="8"/>
        <v>0</v>
      </c>
      <c r="CS10" s="5"/>
      <c r="CT10" s="26" t="s">
        <v>65</v>
      </c>
      <c r="CU10" s="63">
        <f>SUM(CU7:CU9)</f>
        <v>0</v>
      </c>
      <c r="CW10" s="26" t="s">
        <v>65</v>
      </c>
      <c r="CX10" s="63">
        <f>SUM(CX7:CX9)</f>
        <v>0</v>
      </c>
      <c r="CZ10" s="26" t="s">
        <v>65</v>
      </c>
      <c r="DA10" s="63">
        <f>SUM(DA7:DA9)</f>
        <v>0</v>
      </c>
      <c r="DB10" s="5"/>
      <c r="DC10" s="5"/>
      <c r="DD10" s="5"/>
      <c r="DE10" s="5"/>
      <c r="DF10" s="5"/>
      <c r="DG10" s="5"/>
    </row>
    <row r="11" spans="2:111" ht="29.85" customHeight="1" thickBot="1" x14ac:dyDescent="0.25">
      <c r="B11" s="7" t="s">
        <v>66</v>
      </c>
      <c r="C11" s="67" t="s">
        <v>67</v>
      </c>
      <c r="D11" s="3" t="s">
        <v>68</v>
      </c>
      <c r="E11" s="67" t="s">
        <v>69</v>
      </c>
      <c r="F11" s="67" t="s">
        <v>70</v>
      </c>
      <c r="L11" s="40"/>
      <c r="M11" s="49"/>
      <c r="N11" s="42"/>
      <c r="O11" s="42"/>
      <c r="P11" s="35"/>
      <c r="Q11" s="35"/>
      <c r="R11" s="50">
        <f>O11*P11</f>
        <v>0</v>
      </c>
      <c r="S11" s="50">
        <f>O11*Q11</f>
        <v>0</v>
      </c>
      <c r="T11" s="51">
        <f t="shared" si="2"/>
        <v>0</v>
      </c>
      <c r="U11" s="5"/>
      <c r="W11" s="56"/>
      <c r="X11" s="57"/>
      <c r="Y11" s="35"/>
      <c r="Z11" s="35"/>
      <c r="AA11" s="36">
        <f t="shared" ref="AA11:AA36" si="12">Y11-Z11</f>
        <v>0</v>
      </c>
      <c r="AB11" s="37"/>
      <c r="AC11" s="36">
        <f t="shared" ref="AC11:AC35" si="13">AA11*AB11%</f>
        <v>0</v>
      </c>
      <c r="AD11" s="38">
        <f>AC11*AB88/AE88</f>
        <v>0</v>
      </c>
      <c r="AE11" s="5"/>
      <c r="AF11" s="5"/>
      <c r="AG11" s="10"/>
      <c r="AH11" s="5"/>
      <c r="AI11" s="64"/>
      <c r="AJ11" s="5"/>
      <c r="AK11" s="5"/>
      <c r="AL11" s="56"/>
      <c r="AM11" s="57"/>
      <c r="AN11" s="35"/>
      <c r="AO11" s="35"/>
      <c r="AP11" s="36"/>
      <c r="AQ11" s="37"/>
      <c r="AR11" s="36"/>
      <c r="AS11" s="38"/>
      <c r="AT11" s="5"/>
      <c r="AU11" s="5"/>
      <c r="AV11" s="5"/>
      <c r="AW11" s="5"/>
      <c r="AX11" s="5"/>
      <c r="AY11" s="5"/>
      <c r="AZ11" s="5"/>
      <c r="BA11" s="40"/>
      <c r="BB11" s="41"/>
      <c r="BC11" s="42"/>
      <c r="BD11" s="35"/>
      <c r="BE11" s="43">
        <f t="shared" si="0"/>
        <v>0</v>
      </c>
      <c r="BF11" s="35"/>
      <c r="BG11" s="44">
        <f t="shared" si="1"/>
        <v>0</v>
      </c>
      <c r="BJ11" s="40"/>
      <c r="BK11" s="49"/>
      <c r="BL11" s="42"/>
      <c r="BM11" s="42"/>
      <c r="BN11" s="35"/>
      <c r="BO11" s="35"/>
      <c r="BP11" s="53">
        <f t="shared" si="3"/>
        <v>0</v>
      </c>
      <c r="BQ11" s="53">
        <f t="shared" si="4"/>
        <v>0</v>
      </c>
      <c r="BR11" s="44">
        <f t="shared" si="5"/>
        <v>0</v>
      </c>
      <c r="BU11" s="40"/>
      <c r="BV11" s="57"/>
      <c r="BW11" s="57"/>
      <c r="BX11" s="57"/>
      <c r="BY11" s="35"/>
      <c r="BZ11" s="35"/>
      <c r="CA11" s="60">
        <f t="shared" si="9"/>
        <v>0</v>
      </c>
      <c r="CB11" s="60">
        <f t="shared" si="10"/>
        <v>0</v>
      </c>
      <c r="CC11" s="61">
        <f t="shared" si="11"/>
        <v>0</v>
      </c>
      <c r="CD11" s="5"/>
      <c r="CE11" s="5"/>
      <c r="CF11" s="5"/>
      <c r="CG11" s="5"/>
      <c r="CH11" s="5"/>
      <c r="CJ11" s="40"/>
      <c r="CK11" s="57"/>
      <c r="CL11" s="57"/>
      <c r="CM11" s="57"/>
      <c r="CN11" s="35"/>
      <c r="CO11" s="35"/>
      <c r="CP11" s="60">
        <f t="shared" si="6"/>
        <v>0</v>
      </c>
      <c r="CQ11" s="60">
        <f t="shared" si="7"/>
        <v>0</v>
      </c>
      <c r="CR11" s="61">
        <f t="shared" si="8"/>
        <v>0</v>
      </c>
      <c r="CS11" s="5"/>
      <c r="CT11" s="28"/>
      <c r="CU11" s="47"/>
      <c r="CW11" s="28"/>
      <c r="CX11" s="63"/>
      <c r="CZ11" s="28"/>
      <c r="DA11" s="28"/>
      <c r="DB11" s="5"/>
      <c r="DC11" s="5"/>
      <c r="DD11" s="5"/>
      <c r="DE11" s="5"/>
      <c r="DF11" s="5"/>
      <c r="DG11" s="5"/>
    </row>
    <row r="12" spans="2:111" ht="15" customHeight="1" thickBot="1" x14ac:dyDescent="0.25">
      <c r="B12" s="68">
        <v>1</v>
      </c>
      <c r="C12" s="3">
        <v>2</v>
      </c>
      <c r="D12" s="3">
        <v>3</v>
      </c>
      <c r="E12" s="69">
        <v>4</v>
      </c>
      <c r="F12" s="69">
        <v>5</v>
      </c>
      <c r="L12" s="40"/>
      <c r="M12" s="49" t="s">
        <v>71</v>
      </c>
      <c r="N12" s="42" t="s">
        <v>51</v>
      </c>
      <c r="O12" s="42">
        <v>21</v>
      </c>
      <c r="P12" s="35">
        <v>620</v>
      </c>
      <c r="Q12" s="35"/>
      <c r="R12" s="50">
        <f>O11*P11</f>
        <v>0</v>
      </c>
      <c r="S12" s="50">
        <f>O11*Q12</f>
        <v>0</v>
      </c>
      <c r="T12" s="51">
        <f t="shared" si="2"/>
        <v>0</v>
      </c>
      <c r="U12" s="5"/>
      <c r="W12" s="56"/>
      <c r="X12" s="57"/>
      <c r="Y12" s="35"/>
      <c r="Z12" s="35"/>
      <c r="AA12" s="36">
        <f t="shared" si="12"/>
        <v>0</v>
      </c>
      <c r="AB12" s="37"/>
      <c r="AC12" s="36">
        <f t="shared" si="13"/>
        <v>0</v>
      </c>
      <c r="AD12" s="38">
        <f>AC12*AB88/AE88</f>
        <v>0</v>
      </c>
      <c r="AE12" s="5"/>
      <c r="AF12" s="70"/>
      <c r="AG12" s="5"/>
      <c r="AH12" s="64"/>
      <c r="AI12" s="5"/>
      <c r="AJ12" s="5"/>
      <c r="AK12" s="5"/>
      <c r="AL12" s="56"/>
      <c r="AM12" s="57"/>
      <c r="AN12" s="35"/>
      <c r="AO12" s="35"/>
      <c r="AP12" s="36"/>
      <c r="AQ12" s="37"/>
      <c r="AR12" s="36"/>
      <c r="AS12" s="38"/>
      <c r="AT12" s="5"/>
      <c r="AU12" s="5"/>
      <c r="AV12" s="5"/>
      <c r="AW12" s="5"/>
      <c r="AX12" s="5"/>
      <c r="AY12" s="5"/>
      <c r="AZ12" s="5"/>
      <c r="BA12" s="40"/>
      <c r="BB12" s="41"/>
      <c r="BC12" s="42"/>
      <c r="BD12" s="35"/>
      <c r="BE12" s="43">
        <f t="shared" si="0"/>
        <v>0</v>
      </c>
      <c r="BF12" s="35"/>
      <c r="BG12" s="44">
        <f t="shared" si="1"/>
        <v>0</v>
      </c>
      <c r="BJ12" s="40"/>
      <c r="BK12" s="49"/>
      <c r="BL12" s="42"/>
      <c r="BM12" s="42"/>
      <c r="BN12" s="35"/>
      <c r="BO12" s="35"/>
      <c r="BP12" s="53">
        <f t="shared" si="3"/>
        <v>0</v>
      </c>
      <c r="BQ12" s="53">
        <f t="shared" si="4"/>
        <v>0</v>
      </c>
      <c r="BR12" s="44">
        <f t="shared" si="5"/>
        <v>0</v>
      </c>
      <c r="BU12" s="40"/>
      <c r="BV12" s="57"/>
      <c r="BW12" s="57"/>
      <c r="BX12" s="57"/>
      <c r="BY12" s="35"/>
      <c r="BZ12" s="35"/>
      <c r="CA12" s="60">
        <f t="shared" si="9"/>
        <v>0</v>
      </c>
      <c r="CB12" s="60">
        <f t="shared" si="10"/>
        <v>0</v>
      </c>
      <c r="CC12" s="61">
        <f t="shared" si="11"/>
        <v>0</v>
      </c>
      <c r="CD12" s="5"/>
      <c r="CE12" s="5"/>
      <c r="CF12" s="5"/>
      <c r="CG12" s="5"/>
      <c r="CH12" s="5"/>
      <c r="CJ12" s="40"/>
      <c r="CK12" s="57"/>
      <c r="CL12" s="57"/>
      <c r="CM12" s="57"/>
      <c r="CN12" s="35"/>
      <c r="CO12" s="35"/>
      <c r="CP12" s="60">
        <f t="shared" si="6"/>
        <v>0</v>
      </c>
      <c r="CQ12" s="60">
        <f t="shared" si="7"/>
        <v>0</v>
      </c>
      <c r="CR12" s="61">
        <f t="shared" si="8"/>
        <v>0</v>
      </c>
      <c r="CS12" s="5"/>
      <c r="CT12" s="26" t="s">
        <v>72</v>
      </c>
      <c r="CU12" s="63">
        <f>CU10*CU4</f>
        <v>0</v>
      </c>
      <c r="CW12" s="26" t="s">
        <v>72</v>
      </c>
      <c r="CX12" s="63">
        <f>CX10*CX4</f>
        <v>0</v>
      </c>
      <c r="CZ12" s="26" t="s">
        <v>72</v>
      </c>
      <c r="DA12" s="28">
        <f>DA10*DA4</f>
        <v>0</v>
      </c>
      <c r="DB12" s="5"/>
      <c r="DC12" s="5"/>
      <c r="DD12" s="5"/>
      <c r="DE12" s="5"/>
      <c r="DF12" s="5"/>
      <c r="DG12" s="5"/>
    </row>
    <row r="13" spans="2:111" ht="15" customHeight="1" x14ac:dyDescent="0.2">
      <c r="B13" s="71" t="s">
        <v>73</v>
      </c>
      <c r="C13" s="72">
        <v>1</v>
      </c>
      <c r="D13" s="73">
        <f>E13+F13</f>
        <v>268398.51199999999</v>
      </c>
      <c r="E13" s="74">
        <f>SUM(E14:E17)</f>
        <v>268398.51199999999</v>
      </c>
      <c r="F13" s="75">
        <f>SUM(F14:F17)</f>
        <v>0</v>
      </c>
      <c r="L13" s="40"/>
      <c r="M13" s="76"/>
      <c r="N13" s="42"/>
      <c r="O13" s="77"/>
      <c r="P13" s="35"/>
      <c r="Q13" s="35"/>
      <c r="R13" s="50">
        <f>O13*P13</f>
        <v>0</v>
      </c>
      <c r="S13" s="50">
        <f>O12*Q13</f>
        <v>0</v>
      </c>
      <c r="T13" s="51">
        <f t="shared" si="2"/>
        <v>0</v>
      </c>
      <c r="U13" s="5"/>
      <c r="W13" s="56"/>
      <c r="X13" s="57"/>
      <c r="Y13" s="35"/>
      <c r="Z13" s="35"/>
      <c r="AA13" s="36">
        <f t="shared" si="12"/>
        <v>0</v>
      </c>
      <c r="AB13" s="78"/>
      <c r="AC13" s="36">
        <f t="shared" si="13"/>
        <v>0</v>
      </c>
      <c r="AD13" s="38">
        <f>AC13*AB88/AE88</f>
        <v>0</v>
      </c>
      <c r="AE13" s="5"/>
      <c r="AF13" s="70"/>
      <c r="AG13" s="5"/>
      <c r="AH13" s="64"/>
      <c r="AI13" s="5"/>
      <c r="AJ13" s="5"/>
      <c r="AK13" s="5"/>
      <c r="AL13" s="56"/>
      <c r="AM13" s="57"/>
      <c r="AN13" s="79"/>
      <c r="AO13" s="35"/>
      <c r="AP13" s="36"/>
      <c r="AQ13" s="37"/>
      <c r="AR13" s="36"/>
      <c r="AS13" s="38"/>
      <c r="AT13" s="5"/>
      <c r="AU13" s="5"/>
      <c r="AV13" s="5"/>
      <c r="AW13" s="5"/>
      <c r="AX13" s="5"/>
      <c r="AY13" s="5"/>
      <c r="AZ13" s="5"/>
      <c r="BA13" s="40"/>
      <c r="BB13" s="41"/>
      <c r="BC13" s="42"/>
      <c r="BD13" s="35"/>
      <c r="BE13" s="43">
        <f t="shared" si="0"/>
        <v>0</v>
      </c>
      <c r="BF13" s="35"/>
      <c r="BG13" s="44">
        <f t="shared" si="1"/>
        <v>0</v>
      </c>
      <c r="BJ13" s="40"/>
      <c r="BK13" s="49"/>
      <c r="BL13" s="42"/>
      <c r="BM13" s="42"/>
      <c r="BN13" s="35"/>
      <c r="BO13" s="35"/>
      <c r="BP13" s="53">
        <f t="shared" si="3"/>
        <v>0</v>
      </c>
      <c r="BQ13" s="53">
        <f t="shared" si="4"/>
        <v>0</v>
      </c>
      <c r="BR13" s="44">
        <f t="shared" si="5"/>
        <v>0</v>
      </c>
      <c r="BU13" s="40"/>
      <c r="BV13" s="57"/>
      <c r="BW13" s="57"/>
      <c r="BX13" s="57"/>
      <c r="BY13" s="35"/>
      <c r="BZ13" s="35"/>
      <c r="CA13" s="60">
        <f t="shared" si="9"/>
        <v>0</v>
      </c>
      <c r="CB13" s="60">
        <f t="shared" si="10"/>
        <v>0</v>
      </c>
      <c r="CC13" s="61">
        <f t="shared" si="11"/>
        <v>0</v>
      </c>
      <c r="CD13" s="5"/>
      <c r="CE13" s="5"/>
      <c r="CF13" s="5"/>
      <c r="CG13" s="5"/>
      <c r="CH13" s="5"/>
      <c r="CJ13" s="40"/>
      <c r="CK13" s="57"/>
      <c r="CL13" s="57"/>
      <c r="CM13" s="57"/>
      <c r="CN13" s="35"/>
      <c r="CO13" s="35"/>
      <c r="CP13" s="60">
        <f t="shared" si="6"/>
        <v>0</v>
      </c>
      <c r="CQ13" s="60">
        <f t="shared" si="7"/>
        <v>0</v>
      </c>
      <c r="CR13" s="61">
        <f t="shared" si="8"/>
        <v>0</v>
      </c>
      <c r="CS13" s="5"/>
      <c r="CT13" s="26" t="s">
        <v>74</v>
      </c>
      <c r="CU13" s="80">
        <f>AB88</f>
        <v>2</v>
      </c>
      <c r="CW13" s="26" t="s">
        <v>74</v>
      </c>
      <c r="CX13" s="80">
        <f>AB88</f>
        <v>2</v>
      </c>
      <c r="CZ13" s="26" t="s">
        <v>74</v>
      </c>
      <c r="DA13" s="80">
        <f>AB88</f>
        <v>2</v>
      </c>
      <c r="DB13" s="5"/>
      <c r="DC13" s="5"/>
      <c r="DD13" s="5"/>
      <c r="DE13" s="5"/>
      <c r="DF13" s="5"/>
      <c r="DG13" s="5"/>
    </row>
    <row r="14" spans="2:111" ht="15" customHeight="1" thickBot="1" x14ac:dyDescent="0.3">
      <c r="B14" s="81" t="s">
        <v>75</v>
      </c>
      <c r="C14" s="82">
        <v>1.2</v>
      </c>
      <c r="D14" s="83">
        <f>E14+F14</f>
        <v>268293.43999999994</v>
      </c>
      <c r="E14" s="84">
        <f>R30</f>
        <v>268293.43999999994</v>
      </c>
      <c r="F14" s="85">
        <f>S30</f>
        <v>0</v>
      </c>
      <c r="L14" s="40"/>
      <c r="M14" s="49"/>
      <c r="N14" s="42"/>
      <c r="O14" s="42"/>
      <c r="P14" s="35"/>
      <c r="Q14" s="35"/>
      <c r="R14" s="50"/>
      <c r="S14" s="50"/>
      <c r="T14" s="51"/>
      <c r="U14" s="5"/>
      <c r="W14" s="56"/>
      <c r="X14" s="57"/>
      <c r="Y14" s="35"/>
      <c r="Z14" s="35"/>
      <c r="AA14" s="36">
        <f t="shared" si="12"/>
        <v>0</v>
      </c>
      <c r="AB14" s="78"/>
      <c r="AC14" s="36">
        <f t="shared" si="13"/>
        <v>0</v>
      </c>
      <c r="AD14" s="38">
        <f>AC14*AB88/AE88</f>
        <v>0</v>
      </c>
      <c r="AE14" s="5"/>
      <c r="AF14" s="70"/>
      <c r="AG14" s="5"/>
      <c r="AH14" s="64"/>
      <c r="AI14" s="5"/>
      <c r="AJ14" s="5"/>
      <c r="AK14" s="5"/>
      <c r="AL14" s="56"/>
      <c r="AM14" s="57"/>
      <c r="AN14" s="35"/>
      <c r="AO14" s="35"/>
      <c r="AP14" s="36"/>
      <c r="AQ14" s="37"/>
      <c r="AR14" s="36"/>
      <c r="AS14" s="38"/>
      <c r="AT14" s="5"/>
      <c r="AU14" s="5"/>
      <c r="AV14" s="5"/>
      <c r="AW14" s="5"/>
      <c r="AX14" s="5"/>
      <c r="AY14" s="5"/>
      <c r="AZ14" s="5"/>
      <c r="BA14" s="40"/>
      <c r="BB14" s="41"/>
      <c r="BC14" s="42"/>
      <c r="BD14" s="35"/>
      <c r="BE14" s="43">
        <f t="shared" si="0"/>
        <v>0</v>
      </c>
      <c r="BF14" s="35"/>
      <c r="BG14" s="44">
        <f t="shared" si="1"/>
        <v>0</v>
      </c>
      <c r="BJ14" s="40"/>
      <c r="BK14" s="65"/>
      <c r="BL14" s="42"/>
      <c r="BM14" s="42"/>
      <c r="BN14" s="35"/>
      <c r="BO14" s="35"/>
      <c r="BP14" s="53">
        <f t="shared" si="3"/>
        <v>0</v>
      </c>
      <c r="BQ14" s="53">
        <f t="shared" si="4"/>
        <v>0</v>
      </c>
      <c r="BR14" s="44">
        <f t="shared" si="5"/>
        <v>0</v>
      </c>
      <c r="BU14" s="40"/>
      <c r="BV14" s="57"/>
      <c r="BW14" s="57"/>
      <c r="BX14" s="57"/>
      <c r="BY14" s="35"/>
      <c r="BZ14" s="35"/>
      <c r="CA14" s="60">
        <f t="shared" si="9"/>
        <v>0</v>
      </c>
      <c r="CB14" s="60">
        <f t="shared" si="10"/>
        <v>0</v>
      </c>
      <c r="CC14" s="61">
        <f t="shared" si="11"/>
        <v>0</v>
      </c>
      <c r="CD14" s="5"/>
      <c r="CE14" s="5"/>
      <c r="CF14" s="5"/>
      <c r="CG14" s="5"/>
      <c r="CH14" s="5"/>
      <c r="CJ14" s="86"/>
      <c r="CK14" s="87" t="s">
        <v>21</v>
      </c>
      <c r="CL14" s="88"/>
      <c r="CM14" s="88"/>
      <c r="CN14" s="89"/>
      <c r="CO14" s="89"/>
      <c r="CP14" s="90">
        <f>SUM(CP7:CP13)</f>
        <v>1400</v>
      </c>
      <c r="CQ14" s="90">
        <f>SUM(CQ7:CQ13)</f>
        <v>0</v>
      </c>
      <c r="CR14" s="90">
        <f>SUM(CR7:CR13)</f>
        <v>1400</v>
      </c>
      <c r="CS14" s="5"/>
      <c r="CT14" s="26" t="s">
        <v>76</v>
      </c>
      <c r="CU14" s="80">
        <f>AE88</f>
        <v>1382400</v>
      </c>
      <c r="CW14" s="26" t="s">
        <v>76</v>
      </c>
      <c r="CX14" s="80">
        <f>AE88</f>
        <v>1382400</v>
      </c>
      <c r="CZ14" s="26" t="s">
        <v>76</v>
      </c>
      <c r="DA14" s="80">
        <f>AE88</f>
        <v>1382400</v>
      </c>
      <c r="DB14" s="5"/>
      <c r="DC14" s="5"/>
      <c r="DD14" s="5"/>
      <c r="DE14" s="5"/>
      <c r="DF14" s="5"/>
      <c r="DG14" s="5"/>
    </row>
    <row r="15" spans="2:111" ht="15" customHeight="1" thickBot="1" x14ac:dyDescent="0.3">
      <c r="B15" s="81" t="s">
        <v>77</v>
      </c>
      <c r="C15" s="82">
        <v>1.3</v>
      </c>
      <c r="D15" s="83">
        <f>E15+F15</f>
        <v>98.4</v>
      </c>
      <c r="E15" s="84">
        <f>R99</f>
        <v>98.4</v>
      </c>
      <c r="F15" s="85">
        <f>S99</f>
        <v>0</v>
      </c>
      <c r="L15" s="40"/>
      <c r="M15" s="49"/>
      <c r="N15" s="42"/>
      <c r="O15" s="42"/>
      <c r="P15" s="35"/>
      <c r="Q15" s="35"/>
      <c r="R15" s="50"/>
      <c r="S15" s="50"/>
      <c r="T15" s="51"/>
      <c r="U15" s="5"/>
      <c r="W15" s="56"/>
      <c r="X15" s="57"/>
      <c r="Y15" s="35"/>
      <c r="Z15" s="35"/>
      <c r="AA15" s="36">
        <f t="shared" si="12"/>
        <v>0</v>
      </c>
      <c r="AB15" s="78"/>
      <c r="AC15" s="36">
        <f t="shared" si="13"/>
        <v>0</v>
      </c>
      <c r="AD15" s="38">
        <f>AC15*AB88/AE88</f>
        <v>0</v>
      </c>
      <c r="AE15" s="5"/>
      <c r="AF15" s="70"/>
      <c r="AG15" s="5"/>
      <c r="AH15" s="64"/>
      <c r="AI15" s="5"/>
      <c r="AJ15" s="5"/>
      <c r="AK15" s="5"/>
      <c r="AL15" s="56"/>
      <c r="AM15" s="57"/>
      <c r="AN15" s="35"/>
      <c r="AO15" s="35"/>
      <c r="AP15" s="36"/>
      <c r="AQ15" s="37"/>
      <c r="AR15" s="36"/>
      <c r="AS15" s="38"/>
      <c r="AT15" s="5"/>
      <c r="AU15" s="5"/>
      <c r="AV15" s="5"/>
      <c r="AW15" s="5"/>
      <c r="AX15" s="5"/>
      <c r="AY15" s="5"/>
      <c r="AZ15" s="5"/>
      <c r="BA15" s="40"/>
      <c r="BB15" s="41"/>
      <c r="BC15" s="42"/>
      <c r="BD15" s="35"/>
      <c r="BE15" s="43">
        <f t="shared" si="0"/>
        <v>0</v>
      </c>
      <c r="BF15" s="35"/>
      <c r="BG15" s="44">
        <f t="shared" si="1"/>
        <v>0</v>
      </c>
      <c r="BJ15" s="40"/>
      <c r="BK15" s="49"/>
      <c r="BL15" s="42"/>
      <c r="BM15" s="42"/>
      <c r="BN15" s="35"/>
      <c r="BO15" s="35"/>
      <c r="BP15" s="53">
        <f t="shared" si="3"/>
        <v>0</v>
      </c>
      <c r="BQ15" s="53">
        <f t="shared" si="4"/>
        <v>0</v>
      </c>
      <c r="BR15" s="44">
        <f t="shared" si="5"/>
        <v>0</v>
      </c>
      <c r="BU15" s="86"/>
      <c r="BV15" s="87" t="s">
        <v>21</v>
      </c>
      <c r="BW15" s="88"/>
      <c r="BX15" s="88"/>
      <c r="BY15" s="89"/>
      <c r="BZ15" s="89"/>
      <c r="CA15" s="90">
        <f>SUM(CA8:CA14)</f>
        <v>0</v>
      </c>
      <c r="CB15" s="90">
        <f>SUM(CB8:CB14)</f>
        <v>0</v>
      </c>
      <c r="CC15" s="90">
        <f>SUM(CC8:CC14)</f>
        <v>0</v>
      </c>
      <c r="CD15" s="5"/>
      <c r="CE15" s="5"/>
      <c r="CF15" s="5"/>
      <c r="CG15" s="5"/>
      <c r="CH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26" t="s">
        <v>78</v>
      </c>
      <c r="CU15" s="91">
        <f>IF(CU14=0,0,CU12*CU13/CU14)</f>
        <v>0</v>
      </c>
      <c r="CW15" s="26" t="s">
        <v>78</v>
      </c>
      <c r="CX15" s="91">
        <f>IF(CX14=0,0,CX12*CX13/CX14)</f>
        <v>0</v>
      </c>
      <c r="CZ15" s="26" t="s">
        <v>78</v>
      </c>
      <c r="DA15" s="92">
        <f>IF(DA14=0,0,DA12*DA13/DA14)</f>
        <v>0</v>
      </c>
      <c r="DB15" s="5"/>
      <c r="DC15" s="5"/>
      <c r="DD15" s="5"/>
      <c r="DE15" s="5"/>
      <c r="DF15" s="5"/>
      <c r="DG15" s="5"/>
    </row>
    <row r="16" spans="2:111" ht="15" customHeight="1" x14ac:dyDescent="0.2">
      <c r="B16" s="81" t="s">
        <v>79</v>
      </c>
      <c r="C16" s="82">
        <v>1.4</v>
      </c>
      <c r="D16" s="83">
        <f>E16+F16</f>
        <v>3.6720000000000002</v>
      </c>
      <c r="E16" s="84">
        <f>R77</f>
        <v>3.6720000000000002</v>
      </c>
      <c r="F16" s="85">
        <f>S77</f>
        <v>0</v>
      </c>
      <c r="L16" s="40"/>
      <c r="M16" s="49"/>
      <c r="N16" s="42"/>
      <c r="O16" s="42"/>
      <c r="P16" s="35"/>
      <c r="Q16" s="35"/>
      <c r="R16" s="50">
        <f t="shared" ref="R16:R29" si="14">O16*P16</f>
        <v>0</v>
      </c>
      <c r="S16" s="50">
        <f t="shared" ref="S16:S29" si="15">O16*Q16</f>
        <v>0</v>
      </c>
      <c r="T16" s="51">
        <f t="shared" ref="T16:T29" si="16">R16+S16</f>
        <v>0</v>
      </c>
      <c r="U16" s="5"/>
      <c r="W16" s="56"/>
      <c r="X16" s="57"/>
      <c r="Y16" s="35"/>
      <c r="Z16" s="35"/>
      <c r="AA16" s="36">
        <f t="shared" si="12"/>
        <v>0</v>
      </c>
      <c r="AB16" s="78"/>
      <c r="AC16" s="36">
        <f t="shared" si="13"/>
        <v>0</v>
      </c>
      <c r="AD16" s="38">
        <f>AC16*AB88/AE88</f>
        <v>0</v>
      </c>
      <c r="AE16" s="5"/>
      <c r="AF16" s="70"/>
      <c r="AG16" s="5"/>
      <c r="AH16" s="64"/>
      <c r="AI16" s="5"/>
      <c r="AJ16" s="5"/>
      <c r="AK16" s="5"/>
      <c r="AL16" s="56"/>
      <c r="AM16" s="57"/>
      <c r="AN16" s="35"/>
      <c r="AO16" s="35"/>
      <c r="AP16" s="36"/>
      <c r="AQ16" s="37"/>
      <c r="AR16" s="36"/>
      <c r="AS16" s="38"/>
      <c r="AT16" s="5"/>
      <c r="AU16" s="5"/>
      <c r="AV16" s="5"/>
      <c r="AW16" s="5"/>
      <c r="AX16" s="5"/>
      <c r="AY16" s="5"/>
      <c r="AZ16" s="5"/>
      <c r="BA16" s="40"/>
      <c r="BB16" s="41"/>
      <c r="BC16" s="42"/>
      <c r="BD16" s="35"/>
      <c r="BE16" s="43">
        <f t="shared" si="0"/>
        <v>0</v>
      </c>
      <c r="BF16" s="35"/>
      <c r="BG16" s="44">
        <f t="shared" si="1"/>
        <v>0</v>
      </c>
      <c r="BJ16" s="40"/>
      <c r="BK16" s="49"/>
      <c r="BL16" s="42"/>
      <c r="BM16" s="42"/>
      <c r="BN16" s="35"/>
      <c r="BO16" s="35"/>
      <c r="BP16" s="53">
        <f t="shared" si="3"/>
        <v>0</v>
      </c>
      <c r="BQ16" s="53">
        <f t="shared" si="4"/>
        <v>0</v>
      </c>
      <c r="BR16" s="44">
        <f t="shared" si="5"/>
        <v>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</row>
    <row r="17" spans="2:111" ht="15" customHeight="1" x14ac:dyDescent="0.2">
      <c r="B17" s="81" t="s">
        <v>80</v>
      </c>
      <c r="C17" s="82">
        <v>1.5</v>
      </c>
      <c r="D17" s="83">
        <f>E17</f>
        <v>3</v>
      </c>
      <c r="E17" s="84">
        <f>R40</f>
        <v>3</v>
      </c>
      <c r="F17" s="85">
        <f>S40</f>
        <v>0</v>
      </c>
      <c r="L17" s="40"/>
      <c r="M17" s="49"/>
      <c r="N17" s="42"/>
      <c r="O17" s="42"/>
      <c r="P17" s="35"/>
      <c r="Q17" s="35"/>
      <c r="R17" s="50">
        <f t="shared" si="14"/>
        <v>0</v>
      </c>
      <c r="S17" s="50">
        <f t="shared" si="15"/>
        <v>0</v>
      </c>
      <c r="T17" s="51">
        <f t="shared" si="16"/>
        <v>0</v>
      </c>
      <c r="U17" s="5"/>
      <c r="W17" s="56"/>
      <c r="X17" s="57"/>
      <c r="Y17" s="35"/>
      <c r="Z17" s="35"/>
      <c r="AA17" s="36">
        <f t="shared" si="12"/>
        <v>0</v>
      </c>
      <c r="AB17" s="78"/>
      <c r="AC17" s="36">
        <f t="shared" si="13"/>
        <v>0</v>
      </c>
      <c r="AD17" s="38">
        <f>AC17*AB88/AE88</f>
        <v>0</v>
      </c>
      <c r="AE17" s="5"/>
      <c r="AF17" s="70"/>
      <c r="AG17" s="5"/>
      <c r="AH17" s="64"/>
      <c r="AI17" s="5"/>
      <c r="AJ17" s="5"/>
      <c r="AK17" s="5"/>
      <c r="AL17" s="56"/>
      <c r="AM17" s="57"/>
      <c r="AN17" s="35"/>
      <c r="AO17" s="35"/>
      <c r="AP17" s="36"/>
      <c r="AQ17" s="78"/>
      <c r="AR17" s="36"/>
      <c r="AS17" s="38"/>
      <c r="AT17" s="5"/>
      <c r="AU17" s="5"/>
      <c r="AV17" s="5"/>
      <c r="AW17" s="5"/>
      <c r="AX17" s="5"/>
      <c r="AY17" s="5"/>
      <c r="AZ17" s="5"/>
      <c r="BA17" s="40"/>
      <c r="BB17" s="41"/>
      <c r="BC17" s="42"/>
      <c r="BD17" s="35"/>
      <c r="BE17" s="43">
        <f t="shared" si="0"/>
        <v>0</v>
      </c>
      <c r="BF17" s="35"/>
      <c r="BG17" s="44">
        <f t="shared" si="1"/>
        <v>0</v>
      </c>
      <c r="BJ17" s="40"/>
      <c r="BK17" s="49"/>
      <c r="BL17" s="42"/>
      <c r="BM17" s="42"/>
      <c r="BN17" s="35"/>
      <c r="BO17" s="35"/>
      <c r="BP17" s="53">
        <f t="shared" si="3"/>
        <v>0</v>
      </c>
      <c r="BQ17" s="53">
        <f t="shared" si="4"/>
        <v>0</v>
      </c>
      <c r="BR17" s="44">
        <f t="shared" si="5"/>
        <v>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</row>
    <row r="18" spans="2:111" ht="15" customHeight="1" x14ac:dyDescent="0.25">
      <c r="B18" s="93" t="s">
        <v>81</v>
      </c>
      <c r="C18" s="94">
        <v>2</v>
      </c>
      <c r="D18" s="73">
        <f t="shared" ref="D18:D53" si="17">E18+F18</f>
        <v>2572.0413584897879</v>
      </c>
      <c r="E18" s="95">
        <f>E19+E22+E28+E32+E38+E45+E51</f>
        <v>2572.0413584897879</v>
      </c>
      <c r="F18" s="96">
        <f>F19+F22+F28+F32+F38+F45+F51</f>
        <v>0</v>
      </c>
      <c r="L18" s="40"/>
      <c r="M18" s="49"/>
      <c r="N18" s="42"/>
      <c r="O18" s="42"/>
      <c r="P18" s="35"/>
      <c r="Q18" s="35"/>
      <c r="R18" s="50">
        <f t="shared" si="14"/>
        <v>0</v>
      </c>
      <c r="S18" s="50">
        <f t="shared" si="15"/>
        <v>0</v>
      </c>
      <c r="T18" s="51">
        <f t="shared" si="16"/>
        <v>0</v>
      </c>
      <c r="U18" s="5"/>
      <c r="W18" s="56"/>
      <c r="X18" s="57"/>
      <c r="Y18" s="35"/>
      <c r="Z18" s="35"/>
      <c r="AA18" s="36">
        <f t="shared" si="12"/>
        <v>0</v>
      </c>
      <c r="AB18" s="78"/>
      <c r="AC18" s="36">
        <f t="shared" si="13"/>
        <v>0</v>
      </c>
      <c r="AD18" s="38">
        <f>AC18*AB88/AE88</f>
        <v>0</v>
      </c>
      <c r="AE18" s="5"/>
      <c r="AF18" s="70"/>
      <c r="AG18" s="5"/>
      <c r="AH18" s="64"/>
      <c r="AI18" s="5"/>
      <c r="AJ18" s="5"/>
      <c r="AK18" s="5"/>
      <c r="AL18" s="56"/>
      <c r="AM18" s="57"/>
      <c r="AN18" s="35"/>
      <c r="AO18" s="35"/>
      <c r="AP18" s="36">
        <f t="shared" ref="AP18:AP36" si="18">AN18-AO18</f>
        <v>0</v>
      </c>
      <c r="AQ18" s="78"/>
      <c r="AR18" s="36">
        <f t="shared" ref="AR18:AR35" si="19">AP18*AQ18%</f>
        <v>0</v>
      </c>
      <c r="AS18" s="38">
        <f>AR18*AB88/AE88</f>
        <v>0</v>
      </c>
      <c r="AT18" s="5"/>
      <c r="AU18" s="5"/>
      <c r="AV18" s="5"/>
      <c r="AW18" s="5"/>
      <c r="AX18" s="5"/>
      <c r="AY18" s="5"/>
      <c r="AZ18" s="5"/>
      <c r="BA18" s="40"/>
      <c r="BB18" s="41"/>
      <c r="BC18" s="42"/>
      <c r="BD18" s="35"/>
      <c r="BE18" s="43">
        <f t="shared" si="0"/>
        <v>0</v>
      </c>
      <c r="BF18" s="35"/>
      <c r="BG18" s="44">
        <f t="shared" si="1"/>
        <v>0</v>
      </c>
      <c r="BJ18" s="40"/>
      <c r="BK18" s="49"/>
      <c r="BL18" s="42"/>
      <c r="BM18" s="42"/>
      <c r="BN18" s="35"/>
      <c r="BO18" s="35"/>
      <c r="BP18" s="53">
        <f t="shared" si="3"/>
        <v>0</v>
      </c>
      <c r="BQ18" s="53">
        <f t="shared" si="4"/>
        <v>0</v>
      </c>
      <c r="BR18" s="44">
        <f t="shared" si="5"/>
        <v>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J18" s="206" t="s">
        <v>82</v>
      </c>
      <c r="CK18" s="206"/>
      <c r="CL18" s="206"/>
      <c r="CM18" s="206"/>
      <c r="CN18" s="206"/>
      <c r="CO18" s="206"/>
      <c r="CP18" s="206"/>
      <c r="CQ18" s="206"/>
      <c r="CR18" s="5"/>
      <c r="CS18" s="5"/>
      <c r="DG18" s="5"/>
    </row>
    <row r="19" spans="2:111" ht="15" customHeight="1" thickBot="1" x14ac:dyDescent="0.3">
      <c r="B19" s="93" t="s">
        <v>83</v>
      </c>
      <c r="C19" s="94">
        <v>3</v>
      </c>
      <c r="D19" s="73">
        <f t="shared" si="17"/>
        <v>4.1710246874999992</v>
      </c>
      <c r="E19" s="95">
        <f>E20+E21</f>
        <v>4.1710246874999992</v>
      </c>
      <c r="F19" s="96">
        <f>F20+F21</f>
        <v>0</v>
      </c>
      <c r="L19" s="40"/>
      <c r="M19" s="49"/>
      <c r="N19" s="42"/>
      <c r="O19" s="42"/>
      <c r="P19" s="35"/>
      <c r="Q19" s="35"/>
      <c r="R19" s="50">
        <f t="shared" si="14"/>
        <v>0</v>
      </c>
      <c r="S19" s="50">
        <f t="shared" si="15"/>
        <v>0</v>
      </c>
      <c r="T19" s="51">
        <f t="shared" si="16"/>
        <v>0</v>
      </c>
      <c r="U19" s="5"/>
      <c r="W19" s="56"/>
      <c r="X19" s="57"/>
      <c r="Y19" s="35"/>
      <c r="Z19" s="35"/>
      <c r="AA19" s="36">
        <f t="shared" si="12"/>
        <v>0</v>
      </c>
      <c r="AB19" s="78"/>
      <c r="AC19" s="36">
        <f t="shared" si="13"/>
        <v>0</v>
      </c>
      <c r="AD19" s="38">
        <f>AC19*AB88/AE88</f>
        <v>0</v>
      </c>
      <c r="AE19" s="5"/>
      <c r="AF19" s="70"/>
      <c r="AG19" s="5"/>
      <c r="AH19" s="64"/>
      <c r="AI19" s="5"/>
      <c r="AJ19" s="5"/>
      <c r="AK19" s="5"/>
      <c r="AL19" s="56"/>
      <c r="AM19" s="57"/>
      <c r="AN19" s="35"/>
      <c r="AO19" s="35"/>
      <c r="AP19" s="36">
        <f t="shared" si="18"/>
        <v>0</v>
      </c>
      <c r="AQ19" s="78"/>
      <c r="AR19" s="36">
        <f t="shared" si="19"/>
        <v>0</v>
      </c>
      <c r="AS19" s="38">
        <f>AR19*AB88/AE88</f>
        <v>0</v>
      </c>
      <c r="AT19" s="5"/>
      <c r="AU19" s="5"/>
      <c r="AV19" s="5"/>
      <c r="AW19" s="5"/>
      <c r="AX19" s="5"/>
      <c r="AY19" s="5"/>
      <c r="AZ19" s="5"/>
      <c r="BA19" s="40"/>
      <c r="BB19" s="41"/>
      <c r="BC19" s="42"/>
      <c r="BD19" s="35"/>
      <c r="BE19" s="43">
        <f t="shared" si="0"/>
        <v>0</v>
      </c>
      <c r="BF19" s="35"/>
      <c r="BG19" s="44">
        <f t="shared" si="1"/>
        <v>0</v>
      </c>
      <c r="BJ19" s="40"/>
      <c r="BK19" s="49"/>
      <c r="BL19" s="42"/>
      <c r="BM19" s="42"/>
      <c r="BN19" s="35"/>
      <c r="BO19" s="35"/>
      <c r="BP19" s="53">
        <f t="shared" si="3"/>
        <v>0</v>
      </c>
      <c r="BQ19" s="53">
        <f t="shared" si="4"/>
        <v>0</v>
      </c>
      <c r="BR19" s="44">
        <f t="shared" si="5"/>
        <v>0</v>
      </c>
      <c r="BU19" s="206" t="s">
        <v>82</v>
      </c>
      <c r="BV19" s="206"/>
      <c r="BW19" s="206"/>
      <c r="BX19" s="206"/>
      <c r="BY19" s="206"/>
      <c r="BZ19" s="206"/>
      <c r="CA19" s="206"/>
      <c r="CB19" s="206"/>
      <c r="CC19" s="5"/>
      <c r="CD19" s="5"/>
      <c r="CE19" s="5"/>
      <c r="CF19" s="5"/>
      <c r="CJ19" s="8"/>
      <c r="CK19" s="5"/>
      <c r="CL19" s="5"/>
      <c r="CM19" s="9"/>
      <c r="CN19" s="9"/>
      <c r="CO19" s="5"/>
      <c r="CP19" s="5"/>
      <c r="CQ19" s="5"/>
      <c r="CR19" s="5"/>
      <c r="CS19" s="5"/>
      <c r="DG19" s="5"/>
    </row>
    <row r="20" spans="2:111" ht="15" customHeight="1" thickBot="1" x14ac:dyDescent="0.25">
      <c r="B20" s="81" t="s">
        <v>84</v>
      </c>
      <c r="C20" s="82">
        <v>3.2</v>
      </c>
      <c r="D20" s="73">
        <f t="shared" si="17"/>
        <v>4.1710246874999992</v>
      </c>
      <c r="E20" s="84">
        <f>(AD37+AH80)*D10</f>
        <v>4.1710246874999992</v>
      </c>
      <c r="F20" s="85">
        <f>AI80*D10</f>
        <v>0</v>
      </c>
      <c r="L20" s="40"/>
      <c r="M20" s="49"/>
      <c r="N20" s="42"/>
      <c r="O20" s="42"/>
      <c r="P20" s="35"/>
      <c r="Q20" s="35"/>
      <c r="R20" s="50">
        <f t="shared" si="14"/>
        <v>0</v>
      </c>
      <c r="S20" s="50">
        <f t="shared" si="15"/>
        <v>0</v>
      </c>
      <c r="T20" s="51">
        <f t="shared" si="16"/>
        <v>0</v>
      </c>
      <c r="U20" s="5"/>
      <c r="W20" s="56"/>
      <c r="X20" s="57"/>
      <c r="Y20" s="35"/>
      <c r="Z20" s="35"/>
      <c r="AA20" s="36">
        <f t="shared" si="12"/>
        <v>0</v>
      </c>
      <c r="AB20" s="78"/>
      <c r="AC20" s="36">
        <f t="shared" si="13"/>
        <v>0</v>
      </c>
      <c r="AD20" s="38">
        <f>AC20*AB88/AE88</f>
        <v>0</v>
      </c>
      <c r="AE20" s="5"/>
      <c r="AF20" s="70"/>
      <c r="AG20" s="5"/>
      <c r="AH20" s="64"/>
      <c r="AI20" s="5"/>
      <c r="AJ20" s="5"/>
      <c r="AK20" s="5"/>
      <c r="AL20" s="56"/>
      <c r="AM20" s="57"/>
      <c r="AN20" s="35"/>
      <c r="AO20" s="35"/>
      <c r="AP20" s="36">
        <f t="shared" si="18"/>
        <v>0</v>
      </c>
      <c r="AQ20" s="78"/>
      <c r="AR20" s="36">
        <f t="shared" si="19"/>
        <v>0</v>
      </c>
      <c r="AS20" s="38">
        <f>AR20*AB88/AE88</f>
        <v>0</v>
      </c>
      <c r="AT20" s="5"/>
      <c r="AU20" s="5"/>
      <c r="AV20" s="5"/>
      <c r="AW20" s="5"/>
      <c r="AX20" s="5"/>
      <c r="AY20" s="5"/>
      <c r="AZ20" s="5"/>
      <c r="BA20" s="40"/>
      <c r="BB20" s="41"/>
      <c r="BC20" s="42"/>
      <c r="BD20" s="35"/>
      <c r="BE20" s="43">
        <f t="shared" si="0"/>
        <v>0</v>
      </c>
      <c r="BF20" s="35"/>
      <c r="BG20" s="44">
        <f t="shared" si="1"/>
        <v>0</v>
      </c>
      <c r="BJ20" s="40"/>
      <c r="BK20" s="49"/>
      <c r="BL20" s="42"/>
      <c r="BM20" s="42"/>
      <c r="BN20" s="35"/>
      <c r="BO20" s="35"/>
      <c r="BP20" s="53">
        <f t="shared" si="3"/>
        <v>0</v>
      </c>
      <c r="BQ20" s="53">
        <f t="shared" si="4"/>
        <v>0</v>
      </c>
      <c r="BR20" s="44">
        <f t="shared" si="5"/>
        <v>0</v>
      </c>
      <c r="BU20" s="8"/>
      <c r="BV20" s="5"/>
      <c r="BW20" s="5"/>
      <c r="BX20" s="9"/>
      <c r="BY20" s="9"/>
      <c r="BZ20" s="5"/>
      <c r="CA20" s="5"/>
      <c r="CB20" s="5"/>
      <c r="CC20" s="5"/>
      <c r="CD20" s="5"/>
      <c r="CE20" s="5"/>
      <c r="CF20" s="5"/>
      <c r="CJ20" s="15" t="s">
        <v>85</v>
      </c>
      <c r="CK20" s="16" t="s">
        <v>23</v>
      </c>
      <c r="CL20" s="17" t="s">
        <v>24</v>
      </c>
      <c r="CM20" s="16" t="s">
        <v>25</v>
      </c>
      <c r="CN20" s="16" t="s">
        <v>86</v>
      </c>
      <c r="CO20" s="16" t="s">
        <v>27</v>
      </c>
      <c r="CP20" s="16" t="s">
        <v>28</v>
      </c>
      <c r="CQ20" s="18" t="s">
        <v>29</v>
      </c>
      <c r="CR20" s="5"/>
      <c r="CS20" s="5"/>
      <c r="DG20" s="5"/>
    </row>
    <row r="21" spans="2:111" ht="25.5" customHeight="1" x14ac:dyDescent="0.2">
      <c r="B21" s="97" t="s">
        <v>87</v>
      </c>
      <c r="C21" s="98">
        <v>3.3</v>
      </c>
      <c r="D21" s="99">
        <f t="shared" si="17"/>
        <v>0</v>
      </c>
      <c r="E21" s="100"/>
      <c r="F21" s="101">
        <f>CU15*D10</f>
        <v>0</v>
      </c>
      <c r="L21" s="40"/>
      <c r="M21" s="49"/>
      <c r="N21" s="42"/>
      <c r="O21" s="42"/>
      <c r="P21" s="35"/>
      <c r="Q21" s="35"/>
      <c r="R21" s="50">
        <f t="shared" si="14"/>
        <v>0</v>
      </c>
      <c r="S21" s="50">
        <f t="shared" si="15"/>
        <v>0</v>
      </c>
      <c r="T21" s="51">
        <f t="shared" si="16"/>
        <v>0</v>
      </c>
      <c r="U21" s="5"/>
      <c r="W21" s="56"/>
      <c r="X21" s="57"/>
      <c r="Y21" s="35"/>
      <c r="Z21" s="35"/>
      <c r="AA21" s="36">
        <f t="shared" si="12"/>
        <v>0</v>
      </c>
      <c r="AB21" s="78"/>
      <c r="AC21" s="36">
        <f t="shared" si="13"/>
        <v>0</v>
      </c>
      <c r="AD21" s="38">
        <f>AC21*AB88/AE88</f>
        <v>0</v>
      </c>
      <c r="AE21" s="5"/>
      <c r="AF21" s="70"/>
      <c r="AG21" s="5"/>
      <c r="AH21" s="64"/>
      <c r="AI21" s="5"/>
      <c r="AJ21" s="5"/>
      <c r="AK21" s="5"/>
      <c r="AL21" s="56"/>
      <c r="AM21" s="57"/>
      <c r="AN21" s="35"/>
      <c r="AO21" s="35"/>
      <c r="AP21" s="36">
        <f t="shared" si="18"/>
        <v>0</v>
      </c>
      <c r="AQ21" s="78"/>
      <c r="AR21" s="36">
        <f t="shared" si="19"/>
        <v>0</v>
      </c>
      <c r="AS21" s="38">
        <f>AR21*AB88/AE88</f>
        <v>0</v>
      </c>
      <c r="AT21" s="5"/>
      <c r="AU21" s="5"/>
      <c r="AV21" s="5"/>
      <c r="AW21" s="5"/>
      <c r="AX21" s="5"/>
      <c r="AY21" s="5"/>
      <c r="AZ21" s="5"/>
      <c r="BA21" s="40"/>
      <c r="BB21" s="41"/>
      <c r="BC21" s="42"/>
      <c r="BD21" s="35"/>
      <c r="BE21" s="43">
        <f t="shared" si="0"/>
        <v>0</v>
      </c>
      <c r="BF21" s="35"/>
      <c r="BG21" s="44">
        <f t="shared" si="1"/>
        <v>0</v>
      </c>
      <c r="BJ21" s="40"/>
      <c r="BK21" s="49"/>
      <c r="BL21" s="42"/>
      <c r="BM21" s="42"/>
      <c r="BN21" s="35"/>
      <c r="BO21" s="35"/>
      <c r="BP21" s="53">
        <f t="shared" si="3"/>
        <v>0</v>
      </c>
      <c r="BQ21" s="53">
        <f t="shared" si="4"/>
        <v>0</v>
      </c>
      <c r="BR21" s="44">
        <f t="shared" si="5"/>
        <v>0</v>
      </c>
      <c r="BU21" s="15" t="s">
        <v>22</v>
      </c>
      <c r="BV21" s="16" t="s">
        <v>23</v>
      </c>
      <c r="BW21" s="17" t="s">
        <v>24</v>
      </c>
      <c r="BX21" s="20" t="s">
        <v>88</v>
      </c>
      <c r="BY21" s="16" t="s">
        <v>26</v>
      </c>
      <c r="BZ21" s="16" t="s">
        <v>27</v>
      </c>
      <c r="CA21" s="16" t="s">
        <v>28</v>
      </c>
      <c r="CB21" s="18" t="s">
        <v>29</v>
      </c>
      <c r="CC21" s="5"/>
      <c r="CD21" s="5"/>
      <c r="CE21" s="5"/>
      <c r="CF21" s="5"/>
      <c r="CJ21" s="32"/>
      <c r="CK21" s="33"/>
      <c r="CL21" s="34"/>
      <c r="CM21" s="35"/>
      <c r="CN21" s="36">
        <f t="shared" ref="CN21:CN40" si="20">CL21-CM21</f>
        <v>0</v>
      </c>
      <c r="CO21" s="102">
        <v>6</v>
      </c>
      <c r="CP21" s="36">
        <f t="shared" ref="CP21:CP39" si="21">CN21*CO21%</f>
        <v>0</v>
      </c>
      <c r="CQ21" s="38">
        <f>CP21*AB88/AE88</f>
        <v>0</v>
      </c>
      <c r="CR21" s="5"/>
      <c r="CS21" s="5"/>
      <c r="DG21" s="5"/>
    </row>
    <row r="22" spans="2:111" ht="15" customHeight="1" x14ac:dyDescent="0.2">
      <c r="B22" s="93" t="s">
        <v>89</v>
      </c>
      <c r="C22" s="94">
        <v>4</v>
      </c>
      <c r="D22" s="73">
        <f t="shared" si="17"/>
        <v>1167.6728029380902</v>
      </c>
      <c r="E22" s="95">
        <f>SUM(E23:E27)</f>
        <v>1167.6728029380902</v>
      </c>
      <c r="F22" s="96">
        <f>SUM(F23:F27)</f>
        <v>0</v>
      </c>
      <c r="L22" s="40"/>
      <c r="M22" s="49"/>
      <c r="N22" s="42"/>
      <c r="O22" s="42"/>
      <c r="P22" s="35"/>
      <c r="Q22" s="35"/>
      <c r="R22" s="50">
        <f t="shared" si="14"/>
        <v>0</v>
      </c>
      <c r="S22" s="50">
        <f t="shared" si="15"/>
        <v>0</v>
      </c>
      <c r="T22" s="51">
        <f t="shared" si="16"/>
        <v>0</v>
      </c>
      <c r="U22" s="5"/>
      <c r="W22" s="56"/>
      <c r="X22" s="57"/>
      <c r="Y22" s="35"/>
      <c r="Z22" s="35"/>
      <c r="AA22" s="36">
        <f t="shared" si="12"/>
        <v>0</v>
      </c>
      <c r="AB22" s="78"/>
      <c r="AC22" s="36">
        <f t="shared" si="13"/>
        <v>0</v>
      </c>
      <c r="AD22" s="38">
        <f>AC22*AB88/AE88</f>
        <v>0</v>
      </c>
      <c r="AE22" s="5"/>
      <c r="AF22" s="70"/>
      <c r="AG22" s="5"/>
      <c r="AH22" s="64"/>
      <c r="AI22" s="5"/>
      <c r="AJ22" s="5"/>
      <c r="AK22" s="5"/>
      <c r="AL22" s="56"/>
      <c r="AM22" s="57"/>
      <c r="AN22" s="35"/>
      <c r="AO22" s="35"/>
      <c r="AP22" s="36">
        <f t="shared" si="18"/>
        <v>0</v>
      </c>
      <c r="AQ22" s="78"/>
      <c r="AR22" s="36">
        <f t="shared" si="19"/>
        <v>0</v>
      </c>
      <c r="AS22" s="38">
        <f>AR22*AB88/AE88</f>
        <v>0</v>
      </c>
      <c r="AT22" s="5"/>
      <c r="AU22" s="5"/>
      <c r="AV22" s="5"/>
      <c r="AW22" s="5"/>
      <c r="AX22" s="5"/>
      <c r="AY22" s="5"/>
      <c r="AZ22" s="5"/>
      <c r="BA22" s="40"/>
      <c r="BB22" s="41"/>
      <c r="BC22" s="42"/>
      <c r="BD22" s="35"/>
      <c r="BE22" s="43">
        <f t="shared" si="0"/>
        <v>0</v>
      </c>
      <c r="BF22" s="35"/>
      <c r="BG22" s="44">
        <f t="shared" si="1"/>
        <v>0</v>
      </c>
      <c r="BJ22" s="40"/>
      <c r="BK22" s="49"/>
      <c r="BL22" s="42"/>
      <c r="BM22" s="42"/>
      <c r="BN22" s="35"/>
      <c r="BO22" s="35"/>
      <c r="BP22" s="53">
        <f t="shared" si="3"/>
        <v>0</v>
      </c>
      <c r="BQ22" s="53">
        <f t="shared" si="4"/>
        <v>0</v>
      </c>
      <c r="BR22" s="44">
        <f t="shared" si="5"/>
        <v>0</v>
      </c>
      <c r="BU22" s="32"/>
      <c r="BV22" s="33"/>
      <c r="BW22" s="34"/>
      <c r="BX22" s="35"/>
      <c r="BY22" s="36">
        <f t="shared" ref="BY22:BY41" si="22">BW22-BX22</f>
        <v>0</v>
      </c>
      <c r="BZ22" s="37"/>
      <c r="CA22" s="36">
        <f t="shared" ref="CA22:CA40" si="23">BY22*BZ22%</f>
        <v>0</v>
      </c>
      <c r="CB22" s="38">
        <f>CA22*AB88/AE88</f>
        <v>0</v>
      </c>
      <c r="CC22" s="5"/>
      <c r="CD22" s="5"/>
      <c r="CE22" s="5"/>
      <c r="CF22" s="5"/>
      <c r="CJ22" s="32"/>
      <c r="CK22" s="33"/>
      <c r="CL22" s="34"/>
      <c r="CM22" s="35"/>
      <c r="CN22" s="36">
        <f t="shared" si="20"/>
        <v>0</v>
      </c>
      <c r="CO22" s="102"/>
      <c r="CP22" s="36">
        <f t="shared" si="21"/>
        <v>0</v>
      </c>
      <c r="CQ22" s="38">
        <f>CP22*AB88/AE88</f>
        <v>0</v>
      </c>
      <c r="CR22" s="5"/>
      <c r="CS22" s="5"/>
      <c r="DG22" s="5"/>
    </row>
    <row r="23" spans="2:111" ht="15" customHeight="1" x14ac:dyDescent="0.2">
      <c r="B23" s="81" t="s">
        <v>90</v>
      </c>
      <c r="C23" s="82">
        <v>4.0999999999999996</v>
      </c>
      <c r="D23" s="83">
        <f t="shared" si="17"/>
        <v>899.47534102833151</v>
      </c>
      <c r="E23" s="84">
        <f>BG36</f>
        <v>899.47534102833151</v>
      </c>
      <c r="F23" s="103"/>
      <c r="L23" s="40"/>
      <c r="M23" s="49"/>
      <c r="N23" s="42"/>
      <c r="O23" s="42"/>
      <c r="P23" s="35"/>
      <c r="Q23" s="35"/>
      <c r="R23" s="50">
        <f t="shared" si="14"/>
        <v>0</v>
      </c>
      <c r="S23" s="50">
        <f t="shared" si="15"/>
        <v>0</v>
      </c>
      <c r="T23" s="51">
        <f t="shared" si="16"/>
        <v>0</v>
      </c>
      <c r="U23" s="5"/>
      <c r="W23" s="56"/>
      <c r="X23" s="57"/>
      <c r="Y23" s="35"/>
      <c r="Z23" s="35"/>
      <c r="AA23" s="36">
        <f t="shared" si="12"/>
        <v>0</v>
      </c>
      <c r="AB23" s="78"/>
      <c r="AC23" s="36">
        <f t="shared" si="13"/>
        <v>0</v>
      </c>
      <c r="AD23" s="38">
        <f>AC23*AB88/AE88</f>
        <v>0</v>
      </c>
      <c r="AE23" s="5"/>
      <c r="AF23" s="70"/>
      <c r="AG23" s="5"/>
      <c r="AH23" s="64"/>
      <c r="AI23" s="5"/>
      <c r="AJ23" s="5"/>
      <c r="AK23" s="5"/>
      <c r="AL23" s="56"/>
      <c r="AM23" s="57"/>
      <c r="AN23" s="35"/>
      <c r="AO23" s="35"/>
      <c r="AP23" s="36">
        <f t="shared" si="18"/>
        <v>0</v>
      </c>
      <c r="AQ23" s="78"/>
      <c r="AR23" s="36">
        <f t="shared" si="19"/>
        <v>0</v>
      </c>
      <c r="AS23" s="38">
        <f>AR23*AB88/AE88</f>
        <v>0</v>
      </c>
      <c r="AT23" s="5"/>
      <c r="AU23" s="5"/>
      <c r="AV23" s="5"/>
      <c r="AW23" s="5"/>
      <c r="AX23" s="5"/>
      <c r="AY23" s="5"/>
      <c r="AZ23" s="5"/>
      <c r="BA23" s="40"/>
      <c r="BB23" s="41"/>
      <c r="BC23" s="42"/>
      <c r="BD23" s="35"/>
      <c r="BE23" s="43">
        <f t="shared" si="0"/>
        <v>0</v>
      </c>
      <c r="BF23" s="35"/>
      <c r="BG23" s="44">
        <f t="shared" si="1"/>
        <v>0</v>
      </c>
      <c r="BJ23" s="40"/>
      <c r="BK23" s="49"/>
      <c r="BL23" s="42"/>
      <c r="BM23" s="42"/>
      <c r="BN23" s="35"/>
      <c r="BO23" s="35"/>
      <c r="BP23" s="53">
        <f t="shared" si="3"/>
        <v>0</v>
      </c>
      <c r="BQ23" s="53">
        <f t="shared" si="4"/>
        <v>0</v>
      </c>
      <c r="BR23" s="44">
        <f t="shared" si="5"/>
        <v>0</v>
      </c>
      <c r="BU23" s="32"/>
      <c r="BV23" s="33"/>
      <c r="BW23" s="34"/>
      <c r="BX23" s="35"/>
      <c r="BY23" s="36">
        <f t="shared" si="22"/>
        <v>0</v>
      </c>
      <c r="BZ23" s="37"/>
      <c r="CA23" s="36">
        <f t="shared" si="23"/>
        <v>0</v>
      </c>
      <c r="CB23" s="38">
        <f>CA23*AB88/AE88</f>
        <v>0</v>
      </c>
      <c r="CC23" s="5"/>
      <c r="CD23" s="5"/>
      <c r="CE23" s="5"/>
      <c r="CF23" s="5"/>
      <c r="CJ23" s="56"/>
      <c r="CK23" s="57"/>
      <c r="CL23" s="35"/>
      <c r="CM23" s="35"/>
      <c r="CN23" s="36">
        <f t="shared" si="20"/>
        <v>0</v>
      </c>
      <c r="CO23" s="104"/>
      <c r="CP23" s="36">
        <f t="shared" si="21"/>
        <v>0</v>
      </c>
      <c r="CQ23" s="38">
        <f>CP23*AB88/AE88</f>
        <v>0</v>
      </c>
      <c r="CR23" s="5"/>
      <c r="CS23" s="5"/>
      <c r="DG23" s="5"/>
    </row>
    <row r="24" spans="2:111" ht="15" customHeight="1" x14ac:dyDescent="0.2">
      <c r="B24" s="105" t="s">
        <v>91</v>
      </c>
      <c r="C24" s="82">
        <v>4.2</v>
      </c>
      <c r="D24" s="83">
        <f t="shared" si="17"/>
        <v>81.762308499475324</v>
      </c>
      <c r="E24" s="84">
        <f>E23*I24%</f>
        <v>81.762308499475324</v>
      </c>
      <c r="F24" s="106"/>
      <c r="H24" s="1" t="s">
        <v>92</v>
      </c>
      <c r="I24" s="107">
        <v>9.09</v>
      </c>
      <c r="L24" s="40"/>
      <c r="M24" s="49"/>
      <c r="N24" s="42"/>
      <c r="O24" s="42"/>
      <c r="P24" s="35"/>
      <c r="Q24" s="35"/>
      <c r="R24" s="50">
        <f t="shared" si="14"/>
        <v>0</v>
      </c>
      <c r="S24" s="50">
        <f t="shared" si="15"/>
        <v>0</v>
      </c>
      <c r="T24" s="51">
        <f t="shared" si="16"/>
        <v>0</v>
      </c>
      <c r="U24" s="5"/>
      <c r="W24" s="56"/>
      <c r="X24" s="57"/>
      <c r="Y24" s="35"/>
      <c r="Z24" s="35"/>
      <c r="AA24" s="36">
        <f t="shared" si="12"/>
        <v>0</v>
      </c>
      <c r="AB24" s="78"/>
      <c r="AC24" s="36">
        <f t="shared" si="13"/>
        <v>0</v>
      </c>
      <c r="AD24" s="38">
        <f>AC24*AB88/AE88</f>
        <v>0</v>
      </c>
      <c r="AE24" s="5"/>
      <c r="AF24" s="70"/>
      <c r="AG24" s="5"/>
      <c r="AH24" s="64"/>
      <c r="AI24" s="5"/>
      <c r="AJ24" s="5"/>
      <c r="AK24" s="5"/>
      <c r="AL24" s="56"/>
      <c r="AM24" s="57"/>
      <c r="AN24" s="35"/>
      <c r="AO24" s="35"/>
      <c r="AP24" s="36">
        <f t="shared" si="18"/>
        <v>0</v>
      </c>
      <c r="AQ24" s="78"/>
      <c r="AR24" s="36">
        <f t="shared" si="19"/>
        <v>0</v>
      </c>
      <c r="AS24" s="38">
        <f>AR24*AB88/AE88</f>
        <v>0</v>
      </c>
      <c r="AT24" s="5"/>
      <c r="AU24" s="5"/>
      <c r="AV24" s="5"/>
      <c r="AW24" s="5"/>
      <c r="AX24" s="5"/>
      <c r="AY24" s="5"/>
      <c r="AZ24" s="5"/>
      <c r="BA24" s="40"/>
      <c r="BB24" s="41"/>
      <c r="BC24" s="42"/>
      <c r="BD24" s="35"/>
      <c r="BE24" s="43">
        <f t="shared" si="0"/>
        <v>0</v>
      </c>
      <c r="BF24" s="35"/>
      <c r="BG24" s="44">
        <f t="shared" si="1"/>
        <v>0</v>
      </c>
      <c r="BJ24" s="40"/>
      <c r="BK24" s="49"/>
      <c r="BL24" s="42"/>
      <c r="BM24" s="42"/>
      <c r="BN24" s="35"/>
      <c r="BO24" s="35"/>
      <c r="BP24" s="53">
        <f t="shared" si="3"/>
        <v>0</v>
      </c>
      <c r="BQ24" s="53">
        <f t="shared" si="4"/>
        <v>0</v>
      </c>
      <c r="BR24" s="44">
        <f t="shared" si="5"/>
        <v>0</v>
      </c>
      <c r="BU24" s="56"/>
      <c r="BV24" s="57"/>
      <c r="BW24" s="35"/>
      <c r="BX24" s="35"/>
      <c r="BY24" s="36">
        <f t="shared" si="22"/>
        <v>0</v>
      </c>
      <c r="BZ24" s="78"/>
      <c r="CA24" s="36">
        <f t="shared" si="23"/>
        <v>0</v>
      </c>
      <c r="CB24" s="38">
        <f>CA24*AB88/AE88</f>
        <v>0</v>
      </c>
      <c r="CC24" s="5"/>
      <c r="CD24" s="5"/>
      <c r="CE24" s="5"/>
      <c r="CF24" s="5"/>
      <c r="CJ24" s="56"/>
      <c r="CK24" s="57"/>
      <c r="CL24" s="35"/>
      <c r="CM24" s="35"/>
      <c r="CN24" s="36">
        <f t="shared" si="20"/>
        <v>0</v>
      </c>
      <c r="CO24" s="104"/>
      <c r="CP24" s="36">
        <f t="shared" si="21"/>
        <v>0</v>
      </c>
      <c r="CQ24" s="38">
        <f>CP24*AB88/AE88</f>
        <v>0</v>
      </c>
      <c r="CR24" s="5"/>
      <c r="CS24" s="5"/>
      <c r="DG24" s="5"/>
    </row>
    <row r="25" spans="2:111" ht="15" customHeight="1" x14ac:dyDescent="0.2">
      <c r="B25" s="105" t="s">
        <v>93</v>
      </c>
      <c r="C25" s="82">
        <v>4.3</v>
      </c>
      <c r="D25" s="83">
        <f t="shared" si="17"/>
        <v>49.061882476390345</v>
      </c>
      <c r="E25" s="84">
        <f>(E23+E24)*I25%</f>
        <v>49.061882476390345</v>
      </c>
      <c r="F25" s="106"/>
      <c r="H25" s="1" t="s">
        <v>92</v>
      </c>
      <c r="I25" s="107">
        <v>5</v>
      </c>
      <c r="L25" s="40"/>
      <c r="M25" s="49"/>
      <c r="N25" s="42"/>
      <c r="O25" s="42"/>
      <c r="P25" s="35"/>
      <c r="Q25" s="35"/>
      <c r="R25" s="50">
        <f t="shared" si="14"/>
        <v>0</v>
      </c>
      <c r="S25" s="50">
        <f t="shared" si="15"/>
        <v>0</v>
      </c>
      <c r="T25" s="51">
        <f t="shared" si="16"/>
        <v>0</v>
      </c>
      <c r="U25" s="5"/>
      <c r="W25" s="56"/>
      <c r="X25" s="57"/>
      <c r="Y25" s="35"/>
      <c r="Z25" s="35"/>
      <c r="AA25" s="36">
        <f t="shared" si="12"/>
        <v>0</v>
      </c>
      <c r="AB25" s="78"/>
      <c r="AC25" s="36">
        <f t="shared" si="13"/>
        <v>0</v>
      </c>
      <c r="AD25" s="38">
        <f>AC25*AB88/AE88</f>
        <v>0</v>
      </c>
      <c r="AE25" s="5"/>
      <c r="AF25" s="70"/>
      <c r="AG25" s="5"/>
      <c r="AH25" s="64"/>
      <c r="AI25" s="5"/>
      <c r="AJ25" s="5"/>
      <c r="AK25" s="5"/>
      <c r="AL25" s="56"/>
      <c r="AM25" s="57"/>
      <c r="AN25" s="35"/>
      <c r="AO25" s="35"/>
      <c r="AP25" s="36">
        <f t="shared" si="18"/>
        <v>0</v>
      </c>
      <c r="AQ25" s="78"/>
      <c r="AR25" s="36">
        <f t="shared" si="19"/>
        <v>0</v>
      </c>
      <c r="AS25" s="38">
        <f>AR25*AB88/AE88</f>
        <v>0</v>
      </c>
      <c r="AT25" s="5"/>
      <c r="AU25" s="5"/>
      <c r="AV25" s="5"/>
      <c r="AW25" s="5"/>
      <c r="AX25" s="5"/>
      <c r="AY25" s="5"/>
      <c r="AZ25" s="5"/>
      <c r="BA25" s="40"/>
      <c r="BB25" s="41"/>
      <c r="BC25" s="42"/>
      <c r="BD25" s="35"/>
      <c r="BE25" s="43">
        <f t="shared" si="0"/>
        <v>0</v>
      </c>
      <c r="BF25" s="35"/>
      <c r="BG25" s="44">
        <f t="shared" si="1"/>
        <v>0</v>
      </c>
      <c r="BJ25" s="40"/>
      <c r="BK25" s="49"/>
      <c r="BL25" s="42"/>
      <c r="BM25" s="42"/>
      <c r="BN25" s="35"/>
      <c r="BO25" s="35"/>
      <c r="BP25" s="53">
        <f t="shared" si="3"/>
        <v>0</v>
      </c>
      <c r="BQ25" s="53">
        <f t="shared" si="4"/>
        <v>0</v>
      </c>
      <c r="BR25" s="44">
        <f t="shared" si="5"/>
        <v>0</v>
      </c>
      <c r="BU25" s="56"/>
      <c r="BV25" s="57"/>
      <c r="BW25" s="35"/>
      <c r="BX25" s="35"/>
      <c r="BY25" s="36">
        <f t="shared" si="22"/>
        <v>0</v>
      </c>
      <c r="BZ25" s="78"/>
      <c r="CA25" s="36">
        <f t="shared" si="23"/>
        <v>0</v>
      </c>
      <c r="CB25" s="38">
        <f>CA25*AB88/AE88</f>
        <v>0</v>
      </c>
      <c r="CC25" s="5"/>
      <c r="CD25" s="5"/>
      <c r="CE25" s="5"/>
      <c r="CF25" s="5"/>
      <c r="CJ25" s="56"/>
      <c r="CK25" s="57"/>
      <c r="CL25" s="35"/>
      <c r="CM25" s="35"/>
      <c r="CN25" s="36">
        <f t="shared" si="20"/>
        <v>0</v>
      </c>
      <c r="CO25" s="104"/>
      <c r="CP25" s="36">
        <f t="shared" si="21"/>
        <v>0</v>
      </c>
      <c r="CQ25" s="38">
        <f>CP25*AB88/AE88</f>
        <v>0</v>
      </c>
      <c r="CR25" s="5"/>
      <c r="CS25" s="5"/>
      <c r="DG25" s="5"/>
    </row>
    <row r="26" spans="2:111" ht="15" customHeight="1" x14ac:dyDescent="0.2">
      <c r="B26" s="105" t="s">
        <v>94</v>
      </c>
      <c r="C26" s="82">
        <v>4.4000000000000004</v>
      </c>
      <c r="D26" s="83">
        <f t="shared" si="17"/>
        <v>137.37327093389297</v>
      </c>
      <c r="E26" s="84">
        <f>(E23+E24)*I26%</f>
        <v>137.37327093389297</v>
      </c>
      <c r="F26" s="106"/>
      <c r="H26" s="1" t="s">
        <v>92</v>
      </c>
      <c r="I26" s="107">
        <v>14</v>
      </c>
      <c r="L26" s="40"/>
      <c r="M26" s="49"/>
      <c r="N26" s="42"/>
      <c r="O26" s="42"/>
      <c r="P26" s="35"/>
      <c r="Q26" s="35"/>
      <c r="R26" s="50">
        <f t="shared" si="14"/>
        <v>0</v>
      </c>
      <c r="S26" s="50">
        <f t="shared" si="15"/>
        <v>0</v>
      </c>
      <c r="T26" s="51">
        <f t="shared" si="16"/>
        <v>0</v>
      </c>
      <c r="U26" s="5"/>
      <c r="W26" s="56"/>
      <c r="X26" s="57"/>
      <c r="Y26" s="35"/>
      <c r="Z26" s="35"/>
      <c r="AA26" s="36">
        <f t="shared" si="12"/>
        <v>0</v>
      </c>
      <c r="AB26" s="78"/>
      <c r="AC26" s="36">
        <f t="shared" si="13"/>
        <v>0</v>
      </c>
      <c r="AD26" s="38">
        <f>AC26*AB88/AE88</f>
        <v>0</v>
      </c>
      <c r="AE26" s="5"/>
      <c r="AF26" s="70"/>
      <c r="AG26" s="5"/>
      <c r="AH26" s="64"/>
      <c r="AI26" s="5"/>
      <c r="AJ26" s="5"/>
      <c r="AK26" s="5"/>
      <c r="AL26" s="56"/>
      <c r="AM26" s="57"/>
      <c r="AN26" s="35"/>
      <c r="AO26" s="35"/>
      <c r="AP26" s="36">
        <f t="shared" si="18"/>
        <v>0</v>
      </c>
      <c r="AQ26" s="78"/>
      <c r="AR26" s="36">
        <f t="shared" si="19"/>
        <v>0</v>
      </c>
      <c r="AS26" s="38">
        <f>AR26*AB88/AE88</f>
        <v>0</v>
      </c>
      <c r="AT26" s="5"/>
      <c r="AU26" s="5"/>
      <c r="AV26" s="5"/>
      <c r="AW26" s="5"/>
      <c r="AX26" s="5"/>
      <c r="AY26" s="5"/>
      <c r="AZ26" s="5"/>
      <c r="BA26" s="40"/>
      <c r="BB26" s="41"/>
      <c r="BC26" s="42"/>
      <c r="BD26" s="35"/>
      <c r="BE26" s="43">
        <f t="shared" si="0"/>
        <v>0</v>
      </c>
      <c r="BF26" s="35"/>
      <c r="BG26" s="44">
        <f t="shared" si="1"/>
        <v>0</v>
      </c>
      <c r="BJ26" s="40"/>
      <c r="BK26" s="49"/>
      <c r="BL26" s="42"/>
      <c r="BM26" s="42"/>
      <c r="BN26" s="35"/>
      <c r="BO26" s="35"/>
      <c r="BP26" s="53">
        <f t="shared" si="3"/>
        <v>0</v>
      </c>
      <c r="BQ26" s="53">
        <f t="shared" si="4"/>
        <v>0</v>
      </c>
      <c r="BR26" s="44">
        <f t="shared" si="5"/>
        <v>0</v>
      </c>
      <c r="BU26" s="56"/>
      <c r="BV26" s="57"/>
      <c r="BW26" s="35"/>
      <c r="BX26" s="35"/>
      <c r="BY26" s="36">
        <f t="shared" si="22"/>
        <v>0</v>
      </c>
      <c r="BZ26" s="78"/>
      <c r="CA26" s="36">
        <f t="shared" si="23"/>
        <v>0</v>
      </c>
      <c r="CB26" s="38">
        <f>CA26*AB88/AE88</f>
        <v>0</v>
      </c>
      <c r="CC26" s="5"/>
      <c r="CD26" s="5"/>
      <c r="CE26" s="5"/>
      <c r="CF26" s="5"/>
      <c r="CJ26" s="56"/>
      <c r="CK26" s="57"/>
      <c r="CL26" s="35"/>
      <c r="CM26" s="35"/>
      <c r="CN26" s="36">
        <f t="shared" si="20"/>
        <v>0</v>
      </c>
      <c r="CO26" s="104"/>
      <c r="CP26" s="36">
        <f t="shared" si="21"/>
        <v>0</v>
      </c>
      <c r="CQ26" s="38">
        <f>CP26*AB88/AE88</f>
        <v>0</v>
      </c>
      <c r="CR26" s="5"/>
      <c r="CS26" s="5"/>
      <c r="DG26" s="5"/>
    </row>
    <row r="27" spans="2:111" ht="15" customHeight="1" x14ac:dyDescent="0.2">
      <c r="B27" s="105" t="s">
        <v>95</v>
      </c>
      <c r="C27" s="82">
        <v>4.5</v>
      </c>
      <c r="D27" s="73">
        <f t="shared" si="17"/>
        <v>0</v>
      </c>
      <c r="E27" s="84"/>
      <c r="F27" s="103"/>
      <c r="L27" s="40"/>
      <c r="M27" s="49"/>
      <c r="N27" s="42"/>
      <c r="O27" s="42"/>
      <c r="P27" s="35"/>
      <c r="Q27" s="35"/>
      <c r="R27" s="50">
        <f t="shared" si="14"/>
        <v>0</v>
      </c>
      <c r="S27" s="50">
        <f t="shared" si="15"/>
        <v>0</v>
      </c>
      <c r="T27" s="51">
        <f t="shared" si="16"/>
        <v>0</v>
      </c>
      <c r="U27" s="5"/>
      <c r="W27" s="56"/>
      <c r="X27" s="57"/>
      <c r="Y27" s="35"/>
      <c r="Z27" s="35"/>
      <c r="AA27" s="36">
        <f t="shared" si="12"/>
        <v>0</v>
      </c>
      <c r="AB27" s="78"/>
      <c r="AC27" s="36">
        <f t="shared" si="13"/>
        <v>0</v>
      </c>
      <c r="AD27" s="38">
        <f>AC27*AB88/AE88</f>
        <v>0</v>
      </c>
      <c r="AE27" s="5"/>
      <c r="AF27" s="70"/>
      <c r="AG27" s="5"/>
      <c r="AH27" s="64"/>
      <c r="AI27" s="5"/>
      <c r="AJ27" s="5"/>
      <c r="AK27" s="5"/>
      <c r="AL27" s="56"/>
      <c r="AM27" s="57"/>
      <c r="AN27" s="35"/>
      <c r="AO27" s="35"/>
      <c r="AP27" s="36">
        <f t="shared" si="18"/>
        <v>0</v>
      </c>
      <c r="AQ27" s="78"/>
      <c r="AR27" s="36">
        <f t="shared" si="19"/>
        <v>0</v>
      </c>
      <c r="AS27" s="38">
        <f>AR27*AB88/AE88</f>
        <v>0</v>
      </c>
      <c r="AT27" s="5"/>
      <c r="AU27" s="5"/>
      <c r="AV27" s="5"/>
      <c r="AW27" s="5"/>
      <c r="AX27" s="5"/>
      <c r="AY27" s="5"/>
      <c r="AZ27" s="5"/>
      <c r="BA27" s="40"/>
      <c r="BB27" s="41"/>
      <c r="BC27" s="42"/>
      <c r="BD27" s="35"/>
      <c r="BE27" s="43">
        <f t="shared" si="0"/>
        <v>0</v>
      </c>
      <c r="BF27" s="35"/>
      <c r="BG27" s="44">
        <f t="shared" si="1"/>
        <v>0</v>
      </c>
      <c r="BJ27" s="40"/>
      <c r="BK27" s="49"/>
      <c r="BL27" s="42"/>
      <c r="BM27" s="42"/>
      <c r="BN27" s="35"/>
      <c r="BO27" s="35"/>
      <c r="BP27" s="53">
        <f t="shared" si="3"/>
        <v>0</v>
      </c>
      <c r="BQ27" s="53">
        <f t="shared" si="4"/>
        <v>0</v>
      </c>
      <c r="BR27" s="44">
        <f t="shared" si="5"/>
        <v>0</v>
      </c>
      <c r="BU27" s="56"/>
      <c r="BV27" s="57"/>
      <c r="BW27" s="35"/>
      <c r="BX27" s="35"/>
      <c r="BY27" s="36">
        <f t="shared" si="22"/>
        <v>0</v>
      </c>
      <c r="BZ27" s="78"/>
      <c r="CA27" s="36">
        <f t="shared" si="23"/>
        <v>0</v>
      </c>
      <c r="CB27" s="38">
        <f>CA27*AB88/AE88</f>
        <v>0</v>
      </c>
      <c r="CC27" s="5"/>
      <c r="CD27" s="5"/>
      <c r="CE27" s="5"/>
      <c r="CF27" s="5"/>
      <c r="CJ27" s="56"/>
      <c r="CK27" s="57"/>
      <c r="CL27" s="35"/>
      <c r="CM27" s="35"/>
      <c r="CN27" s="36">
        <f t="shared" si="20"/>
        <v>0</v>
      </c>
      <c r="CO27" s="104"/>
      <c r="CP27" s="36">
        <f t="shared" si="21"/>
        <v>0</v>
      </c>
      <c r="CQ27" s="38">
        <f>CP27*AB88/AE88</f>
        <v>0</v>
      </c>
      <c r="CR27" s="5"/>
      <c r="CS27" s="5"/>
      <c r="DG27" s="5"/>
    </row>
    <row r="28" spans="2:111" ht="15" customHeight="1" x14ac:dyDescent="0.2">
      <c r="B28" s="93" t="s">
        <v>96</v>
      </c>
      <c r="C28" s="94">
        <v>5</v>
      </c>
      <c r="D28" s="73">
        <f t="shared" si="17"/>
        <v>0</v>
      </c>
      <c r="E28" s="95">
        <f>SUM(E29:E31)</f>
        <v>0</v>
      </c>
      <c r="F28" s="96">
        <f>SUM(F29:F31)</f>
        <v>0</v>
      </c>
      <c r="L28" s="40"/>
      <c r="M28" s="49"/>
      <c r="N28" s="42"/>
      <c r="O28" s="42"/>
      <c r="P28" s="35"/>
      <c r="Q28" s="35"/>
      <c r="R28" s="50">
        <f t="shared" si="14"/>
        <v>0</v>
      </c>
      <c r="S28" s="50">
        <f t="shared" si="15"/>
        <v>0</v>
      </c>
      <c r="T28" s="51">
        <f t="shared" si="16"/>
        <v>0</v>
      </c>
      <c r="U28" s="5"/>
      <c r="W28" s="56"/>
      <c r="X28" s="57"/>
      <c r="Y28" s="35"/>
      <c r="Z28" s="35"/>
      <c r="AA28" s="36">
        <f t="shared" si="12"/>
        <v>0</v>
      </c>
      <c r="AB28" s="78"/>
      <c r="AC28" s="36">
        <f t="shared" si="13"/>
        <v>0</v>
      </c>
      <c r="AD28" s="38">
        <f>AC28*AB88/AE88</f>
        <v>0</v>
      </c>
      <c r="AE28" s="5"/>
      <c r="AF28" s="70"/>
      <c r="AG28" s="5"/>
      <c r="AH28" s="64"/>
      <c r="AI28" s="5"/>
      <c r="AJ28" s="5"/>
      <c r="AK28" s="5"/>
      <c r="AL28" s="56"/>
      <c r="AM28" s="57"/>
      <c r="AN28" s="35"/>
      <c r="AO28" s="35"/>
      <c r="AP28" s="36">
        <f t="shared" si="18"/>
        <v>0</v>
      </c>
      <c r="AQ28" s="78"/>
      <c r="AR28" s="36">
        <f t="shared" si="19"/>
        <v>0</v>
      </c>
      <c r="AS28" s="38">
        <f>AR28*AB88/AE88</f>
        <v>0</v>
      </c>
      <c r="AT28" s="5"/>
      <c r="AU28" s="5"/>
      <c r="AV28" s="5"/>
      <c r="AW28" s="5"/>
      <c r="AX28" s="5"/>
      <c r="AY28" s="5"/>
      <c r="AZ28" s="5"/>
      <c r="BA28" s="40"/>
      <c r="BB28" s="41"/>
      <c r="BC28" s="42"/>
      <c r="BD28" s="35"/>
      <c r="BE28" s="43">
        <f t="shared" si="0"/>
        <v>0</v>
      </c>
      <c r="BF28" s="35"/>
      <c r="BG28" s="44">
        <f t="shared" si="1"/>
        <v>0</v>
      </c>
      <c r="BJ28" s="40"/>
      <c r="BK28" s="49"/>
      <c r="BL28" s="42"/>
      <c r="BM28" s="42"/>
      <c r="BN28" s="35"/>
      <c r="BO28" s="35"/>
      <c r="BP28" s="53">
        <f t="shared" si="3"/>
        <v>0</v>
      </c>
      <c r="BQ28" s="53">
        <f t="shared" si="4"/>
        <v>0</v>
      </c>
      <c r="BR28" s="44">
        <f t="shared" si="5"/>
        <v>0</v>
      </c>
      <c r="BU28" s="56"/>
      <c r="BV28" s="57"/>
      <c r="BW28" s="35"/>
      <c r="BX28" s="35"/>
      <c r="BY28" s="36">
        <f t="shared" si="22"/>
        <v>0</v>
      </c>
      <c r="BZ28" s="78"/>
      <c r="CA28" s="36">
        <f t="shared" si="23"/>
        <v>0</v>
      </c>
      <c r="CB28" s="38">
        <f>CA28*AB88/AE88</f>
        <v>0</v>
      </c>
      <c r="CC28" s="5"/>
      <c r="CD28" s="5"/>
      <c r="CE28" s="5"/>
      <c r="CF28" s="5"/>
      <c r="CJ28" s="56"/>
      <c r="CK28" s="57"/>
      <c r="CL28" s="35"/>
      <c r="CM28" s="35"/>
      <c r="CN28" s="36">
        <f t="shared" si="20"/>
        <v>0</v>
      </c>
      <c r="CO28" s="104"/>
      <c r="CP28" s="36">
        <f t="shared" si="21"/>
        <v>0</v>
      </c>
      <c r="CQ28" s="38">
        <f>CP28*AB88/AE88</f>
        <v>0</v>
      </c>
      <c r="CR28" s="5"/>
      <c r="CS28" s="5"/>
      <c r="DG28" s="5"/>
    </row>
    <row r="29" spans="2:111" ht="15" customHeight="1" x14ac:dyDescent="0.2">
      <c r="B29" s="81" t="s">
        <v>97</v>
      </c>
      <c r="C29" s="82">
        <v>5.0999999999999996</v>
      </c>
      <c r="D29" s="73">
        <f t="shared" si="17"/>
        <v>0</v>
      </c>
      <c r="E29" s="84">
        <f>BP32</f>
        <v>0</v>
      </c>
      <c r="F29" s="85">
        <f>BQ32</f>
        <v>0</v>
      </c>
      <c r="L29" s="40"/>
      <c r="M29" s="42"/>
      <c r="N29" s="42"/>
      <c r="O29" s="42"/>
      <c r="P29" s="35"/>
      <c r="Q29" s="35"/>
      <c r="R29" s="50">
        <f t="shared" si="14"/>
        <v>0</v>
      </c>
      <c r="S29" s="50">
        <f t="shared" si="15"/>
        <v>0</v>
      </c>
      <c r="T29" s="51">
        <f t="shared" si="16"/>
        <v>0</v>
      </c>
      <c r="U29" s="5"/>
      <c r="W29" s="56"/>
      <c r="X29" s="57"/>
      <c r="Y29" s="35"/>
      <c r="Z29" s="35"/>
      <c r="AA29" s="36">
        <f t="shared" si="12"/>
        <v>0</v>
      </c>
      <c r="AB29" s="78"/>
      <c r="AC29" s="36">
        <f t="shared" si="13"/>
        <v>0</v>
      </c>
      <c r="AD29" s="38">
        <f>AC29*AB88/AE88</f>
        <v>0</v>
      </c>
      <c r="AE29" s="5"/>
      <c r="AF29" s="70"/>
      <c r="AG29" s="5"/>
      <c r="AH29" s="64"/>
      <c r="AI29" s="5"/>
      <c r="AJ29" s="5"/>
      <c r="AK29" s="5"/>
      <c r="AL29" s="56"/>
      <c r="AM29" s="57"/>
      <c r="AN29" s="35"/>
      <c r="AO29" s="35"/>
      <c r="AP29" s="36">
        <f t="shared" si="18"/>
        <v>0</v>
      </c>
      <c r="AQ29" s="78"/>
      <c r="AR29" s="36">
        <f t="shared" si="19"/>
        <v>0</v>
      </c>
      <c r="AS29" s="38">
        <f>AR29*AB88/AE88</f>
        <v>0</v>
      </c>
      <c r="AT29" s="5"/>
      <c r="AU29" s="5"/>
      <c r="AV29" s="5"/>
      <c r="AW29" s="5"/>
      <c r="AX29" s="5"/>
      <c r="AY29" s="5"/>
      <c r="AZ29" s="5"/>
      <c r="BA29" s="40"/>
      <c r="BB29" s="41"/>
      <c r="BC29" s="42"/>
      <c r="BD29" s="35"/>
      <c r="BE29" s="43">
        <f t="shared" si="0"/>
        <v>0</v>
      </c>
      <c r="BF29" s="35"/>
      <c r="BG29" s="44">
        <f t="shared" si="1"/>
        <v>0</v>
      </c>
      <c r="BJ29" s="40"/>
      <c r="BK29" s="49"/>
      <c r="BL29" s="42"/>
      <c r="BM29" s="42"/>
      <c r="BN29" s="35"/>
      <c r="BO29" s="35"/>
      <c r="BP29" s="53">
        <f t="shared" si="3"/>
        <v>0</v>
      </c>
      <c r="BQ29" s="53">
        <f t="shared" si="4"/>
        <v>0</v>
      </c>
      <c r="BR29" s="44">
        <f t="shared" si="5"/>
        <v>0</v>
      </c>
      <c r="BU29" s="56"/>
      <c r="BV29" s="57"/>
      <c r="BW29" s="35"/>
      <c r="BX29" s="35"/>
      <c r="BY29" s="36">
        <f t="shared" si="22"/>
        <v>0</v>
      </c>
      <c r="BZ29" s="78"/>
      <c r="CA29" s="36">
        <f t="shared" si="23"/>
        <v>0</v>
      </c>
      <c r="CB29" s="38">
        <f>CA29*AB88/AE88</f>
        <v>0</v>
      </c>
      <c r="CC29" s="5"/>
      <c r="CD29" s="5"/>
      <c r="CE29" s="5"/>
      <c r="CF29" s="5"/>
      <c r="CJ29" s="56"/>
      <c r="CK29" s="57"/>
      <c r="CL29" s="35"/>
      <c r="CM29" s="35"/>
      <c r="CN29" s="36">
        <f t="shared" si="20"/>
        <v>0</v>
      </c>
      <c r="CO29" s="104"/>
      <c r="CP29" s="36">
        <f t="shared" si="21"/>
        <v>0</v>
      </c>
      <c r="CQ29" s="38">
        <f>CP29*AB88/AE88</f>
        <v>0</v>
      </c>
      <c r="CR29" s="5"/>
      <c r="CS29" s="5"/>
      <c r="DG29" s="5"/>
    </row>
    <row r="30" spans="2:111" ht="15.75" customHeight="1" x14ac:dyDescent="0.25">
      <c r="B30" s="105" t="s">
        <v>98</v>
      </c>
      <c r="C30" s="82">
        <v>5.2</v>
      </c>
      <c r="D30" s="73">
        <f t="shared" si="17"/>
        <v>0</v>
      </c>
      <c r="E30" s="84"/>
      <c r="F30" s="103"/>
      <c r="L30" s="108"/>
      <c r="M30" s="31" t="s">
        <v>21</v>
      </c>
      <c r="N30" s="109"/>
      <c r="O30" s="109"/>
      <c r="P30" s="50"/>
      <c r="Q30" s="50"/>
      <c r="R30" s="110">
        <f>SUM(R6:R29)</f>
        <v>268293.43999999994</v>
      </c>
      <c r="S30" s="110">
        <f>SUM(S6:S29)</f>
        <v>0</v>
      </c>
      <c r="T30" s="111">
        <f>SUM(T6:T29)</f>
        <v>268293.43999999994</v>
      </c>
      <c r="U30" s="5"/>
      <c r="W30" s="56"/>
      <c r="X30" s="57"/>
      <c r="Y30" s="35"/>
      <c r="Z30" s="35"/>
      <c r="AA30" s="36">
        <f t="shared" si="12"/>
        <v>0</v>
      </c>
      <c r="AB30" s="78"/>
      <c r="AC30" s="36">
        <f t="shared" si="13"/>
        <v>0</v>
      </c>
      <c r="AD30" s="38">
        <f>AC30*AB88/AE88</f>
        <v>0</v>
      </c>
      <c r="AE30" s="5"/>
      <c r="AF30" s="70"/>
      <c r="AG30" s="5"/>
      <c r="AH30" s="64"/>
      <c r="AI30" s="5"/>
      <c r="AJ30" s="5"/>
      <c r="AK30" s="5"/>
      <c r="AL30" s="56"/>
      <c r="AM30" s="57"/>
      <c r="AN30" s="35"/>
      <c r="AO30" s="35"/>
      <c r="AP30" s="36">
        <f t="shared" si="18"/>
        <v>0</v>
      </c>
      <c r="AQ30" s="78"/>
      <c r="AR30" s="36">
        <f t="shared" si="19"/>
        <v>0</v>
      </c>
      <c r="AS30" s="38">
        <f>AR30*AB88/AE88</f>
        <v>0</v>
      </c>
      <c r="AT30" s="5"/>
      <c r="AU30" s="5"/>
      <c r="AV30" s="5"/>
      <c r="AW30" s="5"/>
      <c r="AX30" s="5"/>
      <c r="AY30" s="5"/>
      <c r="AZ30" s="5"/>
      <c r="BA30" s="40"/>
      <c r="BB30" s="41"/>
      <c r="BC30" s="42"/>
      <c r="BD30" s="35"/>
      <c r="BE30" s="43">
        <f t="shared" si="0"/>
        <v>0</v>
      </c>
      <c r="BF30" s="35"/>
      <c r="BG30" s="44">
        <f t="shared" si="1"/>
        <v>0</v>
      </c>
      <c r="BJ30" s="40"/>
      <c r="BK30" s="112"/>
      <c r="BL30" s="42"/>
      <c r="BM30" s="42"/>
      <c r="BN30" s="35"/>
      <c r="BO30" s="35"/>
      <c r="BP30" s="53">
        <f t="shared" si="3"/>
        <v>0</v>
      </c>
      <c r="BQ30" s="53">
        <f t="shared" si="4"/>
        <v>0</v>
      </c>
      <c r="BR30" s="44">
        <f t="shared" si="5"/>
        <v>0</v>
      </c>
      <c r="BU30" s="56"/>
      <c r="BV30" s="57"/>
      <c r="BW30" s="35"/>
      <c r="BX30" s="35"/>
      <c r="BY30" s="36">
        <f t="shared" si="22"/>
        <v>0</v>
      </c>
      <c r="BZ30" s="78"/>
      <c r="CA30" s="36">
        <f t="shared" si="23"/>
        <v>0</v>
      </c>
      <c r="CB30" s="38">
        <f>CA30*AB88/AE88</f>
        <v>0</v>
      </c>
      <c r="CC30" s="5"/>
      <c r="CD30" s="5"/>
      <c r="CE30" s="5"/>
      <c r="CF30" s="5"/>
      <c r="CJ30" s="56"/>
      <c r="CK30" s="57"/>
      <c r="CL30" s="35"/>
      <c r="CM30" s="35"/>
      <c r="CN30" s="36">
        <f t="shared" si="20"/>
        <v>0</v>
      </c>
      <c r="CO30" s="104"/>
      <c r="CP30" s="36">
        <f t="shared" si="21"/>
        <v>0</v>
      </c>
      <c r="CQ30" s="38">
        <f>CP30*AB88/AE88</f>
        <v>0</v>
      </c>
      <c r="CR30" s="5"/>
      <c r="CS30" s="5"/>
      <c r="DG30" s="5"/>
    </row>
    <row r="31" spans="2:111" ht="15" customHeight="1" x14ac:dyDescent="0.2">
      <c r="B31" s="81" t="s">
        <v>99</v>
      </c>
      <c r="C31" s="82">
        <v>5.3</v>
      </c>
      <c r="D31" s="83">
        <f t="shared" si="17"/>
        <v>0</v>
      </c>
      <c r="E31" s="84">
        <f>(AS37+AW80)*D10</f>
        <v>0</v>
      </c>
      <c r="F31" s="85">
        <f>AX80*D10</f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W31" s="56"/>
      <c r="X31" s="57"/>
      <c r="Y31" s="35"/>
      <c r="Z31" s="35"/>
      <c r="AA31" s="36">
        <f t="shared" si="12"/>
        <v>0</v>
      </c>
      <c r="AB31" s="78"/>
      <c r="AC31" s="36">
        <f t="shared" si="13"/>
        <v>0</v>
      </c>
      <c r="AD31" s="38">
        <f>AC31*AB88/AE88</f>
        <v>0</v>
      </c>
      <c r="AE31" s="5"/>
      <c r="AF31" s="70"/>
      <c r="AG31" s="5"/>
      <c r="AH31" s="64"/>
      <c r="AI31" s="5"/>
      <c r="AJ31" s="5"/>
      <c r="AK31" s="5"/>
      <c r="AL31" s="56"/>
      <c r="AM31" s="57"/>
      <c r="AN31" s="35"/>
      <c r="AO31" s="35"/>
      <c r="AP31" s="36">
        <f t="shared" si="18"/>
        <v>0</v>
      </c>
      <c r="AQ31" s="78"/>
      <c r="AR31" s="36">
        <f t="shared" si="19"/>
        <v>0</v>
      </c>
      <c r="AS31" s="38">
        <f>AR31*AB88/AE88</f>
        <v>0</v>
      </c>
      <c r="AT31" s="5"/>
      <c r="AU31" s="5"/>
      <c r="AV31" s="5"/>
      <c r="AW31" s="5"/>
      <c r="AX31" s="5"/>
      <c r="AY31" s="5"/>
      <c r="AZ31" s="5"/>
      <c r="BA31" s="40"/>
      <c r="BB31" s="41"/>
      <c r="BC31" s="42"/>
      <c r="BD31" s="35"/>
      <c r="BE31" s="43">
        <f t="shared" si="0"/>
        <v>0</v>
      </c>
      <c r="BF31" s="35"/>
      <c r="BG31" s="44">
        <f t="shared" si="1"/>
        <v>0</v>
      </c>
      <c r="BJ31" s="40"/>
      <c r="BK31" s="42"/>
      <c r="BL31" s="42"/>
      <c r="BM31" s="42"/>
      <c r="BN31" s="35"/>
      <c r="BO31" s="35"/>
      <c r="BP31" s="53"/>
      <c r="BQ31" s="53"/>
      <c r="BR31" s="44"/>
      <c r="BU31" s="56"/>
      <c r="BV31" s="57"/>
      <c r="BW31" s="35"/>
      <c r="BX31" s="35"/>
      <c r="BY31" s="36">
        <f t="shared" si="22"/>
        <v>0</v>
      </c>
      <c r="BZ31" s="78"/>
      <c r="CA31" s="36">
        <f t="shared" si="23"/>
        <v>0</v>
      </c>
      <c r="CB31" s="38">
        <f>CA31*AB88/AE88</f>
        <v>0</v>
      </c>
      <c r="CC31" s="5"/>
      <c r="CD31" s="5"/>
      <c r="CE31" s="5"/>
      <c r="CF31" s="5"/>
      <c r="CJ31" s="56"/>
      <c r="CK31" s="57"/>
      <c r="CL31" s="35"/>
      <c r="CM31" s="35"/>
      <c r="CN31" s="36">
        <f t="shared" si="20"/>
        <v>0</v>
      </c>
      <c r="CO31" s="104"/>
      <c r="CP31" s="36">
        <f t="shared" si="21"/>
        <v>0</v>
      </c>
      <c r="CQ31" s="38">
        <f>CP31*AB88/AE88</f>
        <v>0</v>
      </c>
      <c r="CR31" s="5"/>
      <c r="CS31" s="5"/>
      <c r="DG31" s="5"/>
    </row>
    <row r="32" spans="2:111" ht="15" customHeight="1" thickBot="1" x14ac:dyDescent="0.3">
      <c r="B32" s="93" t="s">
        <v>100</v>
      </c>
      <c r="C32" s="94">
        <v>6</v>
      </c>
      <c r="D32" s="73">
        <f t="shared" si="17"/>
        <v>0</v>
      </c>
      <c r="E32" s="95">
        <f>SUM(E33:E37)</f>
        <v>0</v>
      </c>
      <c r="F32" s="96">
        <f>SUM(F33:F37)</f>
        <v>0</v>
      </c>
      <c r="L32" s="5"/>
      <c r="M32" s="5"/>
      <c r="N32" s="5"/>
      <c r="O32" s="5"/>
      <c r="P32" s="5"/>
      <c r="Q32" s="5"/>
      <c r="R32" s="5"/>
      <c r="S32" s="5"/>
      <c r="T32" s="5"/>
      <c r="U32" s="5"/>
      <c r="W32" s="56"/>
      <c r="X32" s="57"/>
      <c r="Y32" s="35"/>
      <c r="Z32" s="35"/>
      <c r="AA32" s="36">
        <f t="shared" si="12"/>
        <v>0</v>
      </c>
      <c r="AB32" s="78"/>
      <c r="AC32" s="36">
        <f t="shared" si="13"/>
        <v>0</v>
      </c>
      <c r="AD32" s="38">
        <f>AC32*AB88/AE88</f>
        <v>0</v>
      </c>
      <c r="AE32" s="5"/>
      <c r="AF32" s="70"/>
      <c r="AG32" s="5"/>
      <c r="AH32" s="64"/>
      <c r="AI32" s="5"/>
      <c r="AJ32" s="5"/>
      <c r="AK32" s="5"/>
      <c r="AL32" s="56"/>
      <c r="AM32" s="57"/>
      <c r="AN32" s="35"/>
      <c r="AO32" s="35"/>
      <c r="AP32" s="36">
        <f t="shared" si="18"/>
        <v>0</v>
      </c>
      <c r="AQ32" s="78"/>
      <c r="AR32" s="36">
        <f t="shared" si="19"/>
        <v>0</v>
      </c>
      <c r="AS32" s="38">
        <f>AR32*AB88/AE88</f>
        <v>0</v>
      </c>
      <c r="AT32" s="5"/>
      <c r="AU32" s="5"/>
      <c r="AV32" s="5"/>
      <c r="AW32" s="5"/>
      <c r="AX32" s="5"/>
      <c r="AY32" s="5"/>
      <c r="AZ32" s="5"/>
      <c r="BA32" s="40"/>
      <c r="BB32" s="41"/>
      <c r="BC32" s="42"/>
      <c r="BD32" s="35"/>
      <c r="BE32" s="43">
        <f t="shared" si="0"/>
        <v>0</v>
      </c>
      <c r="BF32" s="35"/>
      <c r="BG32" s="44">
        <f t="shared" si="1"/>
        <v>0</v>
      </c>
      <c r="BJ32" s="113"/>
      <c r="BK32" s="114" t="s">
        <v>21</v>
      </c>
      <c r="BL32" s="115"/>
      <c r="BM32" s="115"/>
      <c r="BN32" s="116"/>
      <c r="BO32" s="116"/>
      <c r="BP32" s="116">
        <f>SUM(BP6:BP31)</f>
        <v>0</v>
      </c>
      <c r="BQ32" s="116">
        <f>SUM(BQ6:BQ31)</f>
        <v>0</v>
      </c>
      <c r="BR32" s="117">
        <f>SUM(BR6:BR31)</f>
        <v>0</v>
      </c>
      <c r="BU32" s="56"/>
      <c r="BV32" s="57"/>
      <c r="BW32" s="35"/>
      <c r="BX32" s="35"/>
      <c r="BY32" s="36">
        <f t="shared" si="22"/>
        <v>0</v>
      </c>
      <c r="BZ32" s="78"/>
      <c r="CA32" s="36">
        <f t="shared" si="23"/>
        <v>0</v>
      </c>
      <c r="CB32" s="38">
        <f>CA32*AB88/AE88</f>
        <v>0</v>
      </c>
      <c r="CC32" s="5"/>
      <c r="CD32" s="5"/>
      <c r="CE32" s="5"/>
      <c r="CF32" s="5"/>
      <c r="CJ32" s="56"/>
      <c r="CK32" s="57"/>
      <c r="CL32" s="35"/>
      <c r="CM32" s="35"/>
      <c r="CN32" s="36">
        <f t="shared" si="20"/>
        <v>0</v>
      </c>
      <c r="CO32" s="104"/>
      <c r="CP32" s="36">
        <f t="shared" si="21"/>
        <v>0</v>
      </c>
      <c r="CQ32" s="38">
        <f>CP32*AB88/AE88</f>
        <v>0</v>
      </c>
      <c r="CR32" s="5"/>
      <c r="CS32" s="5"/>
      <c r="DG32" s="5"/>
    </row>
    <row r="33" spans="2:111" ht="15" customHeight="1" x14ac:dyDescent="0.2">
      <c r="B33" s="81" t="s">
        <v>90</v>
      </c>
      <c r="C33" s="82">
        <v>6.1</v>
      </c>
      <c r="D33" s="73">
        <f t="shared" si="17"/>
        <v>0</v>
      </c>
      <c r="E33" s="84">
        <f>BG82</f>
        <v>0</v>
      </c>
      <c r="F33" s="103"/>
      <c r="L33" s="5"/>
      <c r="M33" s="5"/>
      <c r="N33" s="5"/>
      <c r="O33" s="5"/>
      <c r="P33" s="5"/>
      <c r="Q33" s="5"/>
      <c r="R33" s="5"/>
      <c r="S33" s="5"/>
      <c r="T33" s="5"/>
      <c r="U33" s="5"/>
      <c r="W33" s="56"/>
      <c r="X33" s="57"/>
      <c r="Y33" s="35"/>
      <c r="Z33" s="35"/>
      <c r="AA33" s="36">
        <f t="shared" si="12"/>
        <v>0</v>
      </c>
      <c r="AB33" s="78"/>
      <c r="AC33" s="36">
        <f t="shared" si="13"/>
        <v>0</v>
      </c>
      <c r="AD33" s="38">
        <f>AC33*AB88/AE88</f>
        <v>0</v>
      </c>
      <c r="AE33" s="5"/>
      <c r="AF33" s="70"/>
      <c r="AG33" s="5"/>
      <c r="AH33" s="64"/>
      <c r="AI33" s="5"/>
      <c r="AJ33" s="5"/>
      <c r="AK33" s="5"/>
      <c r="AL33" s="56"/>
      <c r="AM33" s="57"/>
      <c r="AN33" s="35"/>
      <c r="AO33" s="35"/>
      <c r="AP33" s="36">
        <f t="shared" si="18"/>
        <v>0</v>
      </c>
      <c r="AQ33" s="78"/>
      <c r="AR33" s="36">
        <f t="shared" si="19"/>
        <v>0</v>
      </c>
      <c r="AS33" s="38">
        <f>AR33*AB88/AE88</f>
        <v>0</v>
      </c>
      <c r="AT33" s="5"/>
      <c r="AU33" s="5"/>
      <c r="AV33" s="5"/>
      <c r="AW33" s="5"/>
      <c r="AX33" s="5"/>
      <c r="AY33" s="5"/>
      <c r="AZ33" s="5"/>
      <c r="BA33" s="40"/>
      <c r="BB33" s="41"/>
      <c r="BC33" s="42"/>
      <c r="BD33" s="35"/>
      <c r="BE33" s="43">
        <f t="shared" si="0"/>
        <v>0</v>
      </c>
      <c r="BF33" s="35"/>
      <c r="BG33" s="44">
        <f t="shared" si="1"/>
        <v>0</v>
      </c>
      <c r="BU33" s="56"/>
      <c r="BV33" s="57"/>
      <c r="BW33" s="35"/>
      <c r="BX33" s="35"/>
      <c r="BY33" s="36">
        <f t="shared" si="22"/>
        <v>0</v>
      </c>
      <c r="BZ33" s="78"/>
      <c r="CA33" s="36">
        <f t="shared" si="23"/>
        <v>0</v>
      </c>
      <c r="CB33" s="38">
        <f>CA33*AB88/AE88</f>
        <v>0</v>
      </c>
      <c r="CC33" s="5"/>
      <c r="CD33" s="5"/>
      <c r="CE33" s="5"/>
      <c r="CF33" s="5"/>
      <c r="CJ33" s="56"/>
      <c r="CK33" s="57"/>
      <c r="CL33" s="35"/>
      <c r="CM33" s="35"/>
      <c r="CN33" s="36">
        <f t="shared" si="20"/>
        <v>0</v>
      </c>
      <c r="CO33" s="104"/>
      <c r="CP33" s="36">
        <f t="shared" si="21"/>
        <v>0</v>
      </c>
      <c r="CQ33" s="38">
        <f>CP33*AB88/AE88</f>
        <v>0</v>
      </c>
      <c r="CR33" s="5"/>
      <c r="CS33" s="5"/>
      <c r="DG33" s="5"/>
    </row>
    <row r="34" spans="2:111" ht="15" customHeight="1" x14ac:dyDescent="0.25">
      <c r="B34" s="105" t="s">
        <v>91</v>
      </c>
      <c r="C34" s="82">
        <v>6.2</v>
      </c>
      <c r="D34" s="73">
        <f t="shared" si="17"/>
        <v>0</v>
      </c>
      <c r="E34" s="84">
        <f>E33*I34%</f>
        <v>0</v>
      </c>
      <c r="F34" s="103"/>
      <c r="H34" s="1" t="s">
        <v>92</v>
      </c>
      <c r="I34" s="107">
        <v>9.09</v>
      </c>
      <c r="L34" s="5"/>
      <c r="M34" s="46" t="s">
        <v>101</v>
      </c>
      <c r="N34" s="5"/>
      <c r="O34" s="5"/>
      <c r="P34" s="5"/>
      <c r="Q34" s="5"/>
      <c r="R34" s="5"/>
      <c r="S34" s="5"/>
      <c r="T34" s="5"/>
      <c r="U34" s="5"/>
      <c r="W34" s="56"/>
      <c r="X34" s="57"/>
      <c r="Y34" s="35"/>
      <c r="Z34" s="35"/>
      <c r="AA34" s="36">
        <f t="shared" si="12"/>
        <v>0</v>
      </c>
      <c r="AB34" s="78"/>
      <c r="AC34" s="36">
        <f t="shared" si="13"/>
        <v>0</v>
      </c>
      <c r="AD34" s="38">
        <f>AC34*AB88/AE88</f>
        <v>0</v>
      </c>
      <c r="AE34" s="5"/>
      <c r="AF34" s="70"/>
      <c r="AG34" s="5"/>
      <c r="AH34" s="64"/>
      <c r="AI34" s="5"/>
      <c r="AJ34" s="5"/>
      <c r="AK34" s="5"/>
      <c r="AL34" s="56"/>
      <c r="AM34" s="57"/>
      <c r="AN34" s="35"/>
      <c r="AO34" s="35"/>
      <c r="AP34" s="36">
        <f t="shared" si="18"/>
        <v>0</v>
      </c>
      <c r="AQ34" s="78"/>
      <c r="AR34" s="36">
        <f t="shared" si="19"/>
        <v>0</v>
      </c>
      <c r="AS34" s="38">
        <f>AR34*AB88/AE88</f>
        <v>0</v>
      </c>
      <c r="AT34" s="5"/>
      <c r="AU34" s="5"/>
      <c r="AV34" s="5"/>
      <c r="AW34" s="5"/>
      <c r="AX34" s="5"/>
      <c r="AY34" s="5"/>
      <c r="AZ34" s="5"/>
      <c r="BA34" s="40"/>
      <c r="BB34" s="41"/>
      <c r="BC34" s="42"/>
      <c r="BD34" s="35"/>
      <c r="BE34" s="43">
        <f t="shared" si="0"/>
        <v>0</v>
      </c>
      <c r="BF34" s="35"/>
      <c r="BG34" s="44">
        <f t="shared" si="1"/>
        <v>0</v>
      </c>
      <c r="BU34" s="56"/>
      <c r="BV34" s="57"/>
      <c r="BW34" s="35"/>
      <c r="BX34" s="35"/>
      <c r="BY34" s="36">
        <f t="shared" si="22"/>
        <v>0</v>
      </c>
      <c r="BZ34" s="78"/>
      <c r="CA34" s="36">
        <f t="shared" si="23"/>
        <v>0</v>
      </c>
      <c r="CB34" s="38">
        <f>CA34*AB88/AE88</f>
        <v>0</v>
      </c>
      <c r="CC34" s="5"/>
      <c r="CD34" s="5"/>
      <c r="CE34" s="5"/>
      <c r="CF34" s="5"/>
      <c r="CJ34" s="56"/>
      <c r="CK34" s="57"/>
      <c r="CL34" s="35"/>
      <c r="CM34" s="35"/>
      <c r="CN34" s="36">
        <f t="shared" si="20"/>
        <v>0</v>
      </c>
      <c r="CO34" s="104"/>
      <c r="CP34" s="36">
        <f t="shared" si="21"/>
        <v>0</v>
      </c>
      <c r="CQ34" s="38">
        <f>CP34*AB88/AE88</f>
        <v>0</v>
      </c>
      <c r="CR34" s="5"/>
      <c r="CS34" s="5"/>
      <c r="DG34" s="5"/>
    </row>
    <row r="35" spans="2:111" ht="15" customHeight="1" thickBot="1" x14ac:dyDescent="0.25">
      <c r="B35" s="105" t="s">
        <v>93</v>
      </c>
      <c r="C35" s="82">
        <v>6.3</v>
      </c>
      <c r="D35" s="73">
        <f t="shared" si="17"/>
        <v>0</v>
      </c>
      <c r="E35" s="84">
        <f>(E33+E34)*I35%</f>
        <v>0</v>
      </c>
      <c r="F35" s="103"/>
      <c r="H35" s="1" t="s">
        <v>92</v>
      </c>
      <c r="I35" s="107">
        <v>5</v>
      </c>
      <c r="L35" s="5"/>
      <c r="M35" s="5"/>
      <c r="N35" s="5"/>
      <c r="O35" s="5"/>
      <c r="P35" s="5"/>
      <c r="Q35" s="5"/>
      <c r="R35" s="5"/>
      <c r="S35" s="5"/>
      <c r="T35" s="5"/>
      <c r="U35" s="5"/>
      <c r="W35" s="56"/>
      <c r="X35" s="57"/>
      <c r="Y35" s="35"/>
      <c r="Z35" s="35"/>
      <c r="AA35" s="36">
        <f t="shared" si="12"/>
        <v>0</v>
      </c>
      <c r="AB35" s="78"/>
      <c r="AC35" s="36">
        <f t="shared" si="13"/>
        <v>0</v>
      </c>
      <c r="AD35" s="61">
        <f>AC35*AB88/AE88</f>
        <v>0</v>
      </c>
      <c r="AE35" s="5"/>
      <c r="AF35" s="70"/>
      <c r="AG35" s="5"/>
      <c r="AH35" s="5"/>
      <c r="AI35" s="5"/>
      <c r="AJ35" s="5"/>
      <c r="AK35" s="5"/>
      <c r="AL35" s="56"/>
      <c r="AM35" s="57"/>
      <c r="AN35" s="35"/>
      <c r="AO35" s="35"/>
      <c r="AP35" s="36">
        <f t="shared" si="18"/>
        <v>0</v>
      </c>
      <c r="AQ35" s="78"/>
      <c r="AR35" s="36">
        <f t="shared" si="19"/>
        <v>0</v>
      </c>
      <c r="AS35" s="61">
        <f>AR35*AB88/AE88</f>
        <v>0</v>
      </c>
      <c r="AT35" s="5"/>
      <c r="AU35" s="5"/>
      <c r="AV35" s="5"/>
      <c r="AW35" s="5"/>
      <c r="AX35" s="5"/>
      <c r="AY35" s="5"/>
      <c r="AZ35" s="5"/>
      <c r="BA35" s="40"/>
      <c r="BB35" s="41"/>
      <c r="BC35" s="42"/>
      <c r="BD35" s="35"/>
      <c r="BE35" s="43">
        <f t="shared" si="0"/>
        <v>0</v>
      </c>
      <c r="BF35" s="35"/>
      <c r="BG35" s="44">
        <f t="shared" si="1"/>
        <v>0</v>
      </c>
      <c r="BU35" s="56"/>
      <c r="BV35" s="57"/>
      <c r="BW35" s="35"/>
      <c r="BX35" s="35"/>
      <c r="BY35" s="36">
        <f t="shared" si="22"/>
        <v>0</v>
      </c>
      <c r="BZ35" s="78"/>
      <c r="CA35" s="36">
        <f t="shared" si="23"/>
        <v>0</v>
      </c>
      <c r="CB35" s="38">
        <f>CA35*AB88/AE88</f>
        <v>0</v>
      </c>
      <c r="CC35" s="5"/>
      <c r="CD35" s="5"/>
      <c r="CE35" s="5"/>
      <c r="CF35" s="5"/>
      <c r="CJ35" s="56"/>
      <c r="CK35" s="57"/>
      <c r="CL35" s="35"/>
      <c r="CM35" s="35"/>
      <c r="CN35" s="36">
        <f t="shared" si="20"/>
        <v>0</v>
      </c>
      <c r="CO35" s="104"/>
      <c r="CP35" s="36">
        <f t="shared" si="21"/>
        <v>0</v>
      </c>
      <c r="CQ35" s="38">
        <f>CP35*AB88/AE88</f>
        <v>0</v>
      </c>
      <c r="CR35" s="5"/>
      <c r="CS35" s="5"/>
      <c r="DG35" s="5"/>
    </row>
    <row r="36" spans="2:111" ht="15" customHeight="1" thickBot="1" x14ac:dyDescent="0.3">
      <c r="B36" s="105" t="s">
        <v>102</v>
      </c>
      <c r="C36" s="82">
        <v>6.4</v>
      </c>
      <c r="D36" s="73">
        <f t="shared" si="17"/>
        <v>0</v>
      </c>
      <c r="E36" s="84">
        <f>(E33+E34)*I36%</f>
        <v>0</v>
      </c>
      <c r="F36" s="103"/>
      <c r="H36" s="1" t="s">
        <v>92</v>
      </c>
      <c r="I36" s="107">
        <v>14</v>
      </c>
      <c r="L36" s="174" t="s">
        <v>15</v>
      </c>
      <c r="M36" s="175" t="s">
        <v>16</v>
      </c>
      <c r="N36" s="175" t="s">
        <v>17</v>
      </c>
      <c r="O36" s="14" t="s">
        <v>18</v>
      </c>
      <c r="P36" s="175" t="s">
        <v>19</v>
      </c>
      <c r="Q36" s="175"/>
      <c r="R36" s="175" t="s">
        <v>20</v>
      </c>
      <c r="S36" s="175"/>
      <c r="T36" s="178" t="s">
        <v>21</v>
      </c>
      <c r="U36" s="5"/>
      <c r="W36" s="56"/>
      <c r="X36" s="57"/>
      <c r="Y36" s="35"/>
      <c r="Z36" s="35"/>
      <c r="AA36" s="36">
        <f t="shared" si="12"/>
        <v>0</v>
      </c>
      <c r="AB36" s="78"/>
      <c r="AC36" s="60"/>
      <c r="AD36" s="61">
        <f>AC36*AB88/AE88</f>
        <v>0</v>
      </c>
      <c r="AE36" s="5"/>
      <c r="AF36" s="70"/>
      <c r="AG36" s="5"/>
      <c r="AH36" s="5"/>
      <c r="AI36" s="5"/>
      <c r="AJ36" s="5"/>
      <c r="AK36" s="5"/>
      <c r="AL36" s="56"/>
      <c r="AM36" s="57"/>
      <c r="AN36" s="35"/>
      <c r="AO36" s="35"/>
      <c r="AP36" s="36">
        <f t="shared" si="18"/>
        <v>0</v>
      </c>
      <c r="AQ36" s="78"/>
      <c r="AR36" s="60"/>
      <c r="AS36" s="61">
        <f>AR36*AB88/AE88</f>
        <v>0</v>
      </c>
      <c r="AT36" s="5"/>
      <c r="AU36" s="5"/>
      <c r="AV36" s="5"/>
      <c r="AW36" s="5"/>
      <c r="AX36" s="5"/>
      <c r="AY36" s="5"/>
      <c r="AZ36" s="5"/>
      <c r="BA36" s="173" t="s">
        <v>103</v>
      </c>
      <c r="BB36" s="173"/>
      <c r="BC36" s="173"/>
      <c r="BD36" s="116"/>
      <c r="BE36" s="116"/>
      <c r="BF36" s="116"/>
      <c r="BG36" s="117">
        <f>SUM(BG5:BG35)</f>
        <v>899.47534102833151</v>
      </c>
      <c r="BU36" s="56"/>
      <c r="BV36" s="57"/>
      <c r="BW36" s="35"/>
      <c r="BX36" s="35"/>
      <c r="BY36" s="36">
        <f t="shared" si="22"/>
        <v>0</v>
      </c>
      <c r="BZ36" s="78"/>
      <c r="CA36" s="36">
        <f t="shared" si="23"/>
        <v>0</v>
      </c>
      <c r="CB36" s="38">
        <f>CA36*AB88/AE88</f>
        <v>0</v>
      </c>
      <c r="CC36" s="5"/>
      <c r="CD36" s="5"/>
      <c r="CE36" s="5"/>
      <c r="CF36" s="5"/>
      <c r="CJ36" s="56"/>
      <c r="CK36" s="57"/>
      <c r="CL36" s="35"/>
      <c r="CM36" s="35"/>
      <c r="CN36" s="36">
        <f t="shared" si="20"/>
        <v>0</v>
      </c>
      <c r="CO36" s="104"/>
      <c r="CP36" s="36">
        <f t="shared" si="21"/>
        <v>0</v>
      </c>
      <c r="CQ36" s="38">
        <f>CP36*AB88/AE88</f>
        <v>0</v>
      </c>
      <c r="CR36" s="5"/>
      <c r="CS36" s="5"/>
      <c r="DG36" s="5"/>
    </row>
    <row r="37" spans="2:111" ht="15" customHeight="1" thickBot="1" x14ac:dyDescent="0.3">
      <c r="B37" s="105" t="s">
        <v>104</v>
      </c>
      <c r="C37" s="82">
        <v>6.5</v>
      </c>
      <c r="D37" s="73">
        <f t="shared" si="17"/>
        <v>0</v>
      </c>
      <c r="E37" s="118"/>
      <c r="F37" s="103"/>
      <c r="L37" s="174"/>
      <c r="M37" s="175"/>
      <c r="N37" s="175"/>
      <c r="O37" s="31" t="s">
        <v>43</v>
      </c>
      <c r="P37" s="31" t="s">
        <v>44</v>
      </c>
      <c r="Q37" s="31" t="s">
        <v>45</v>
      </c>
      <c r="R37" s="31" t="s">
        <v>44</v>
      </c>
      <c r="S37" s="31" t="s">
        <v>45</v>
      </c>
      <c r="T37" s="178"/>
      <c r="U37" s="5"/>
      <c r="W37" s="171" t="s">
        <v>21</v>
      </c>
      <c r="X37" s="171"/>
      <c r="Y37" s="171"/>
      <c r="Z37" s="171"/>
      <c r="AA37" s="119">
        <f>SUM(AA5:AA36)</f>
        <v>0</v>
      </c>
      <c r="AB37" s="119"/>
      <c r="AC37" s="119"/>
      <c r="AD37" s="120">
        <f>SUM(AD5:AD36)</f>
        <v>0</v>
      </c>
      <c r="AE37" s="121"/>
      <c r="AF37" s="121"/>
      <c r="AG37" s="121"/>
      <c r="AH37" s="121"/>
      <c r="AI37" s="5"/>
      <c r="AJ37" s="5"/>
      <c r="AK37" s="5"/>
      <c r="AL37" s="171" t="s">
        <v>21</v>
      </c>
      <c r="AM37" s="171"/>
      <c r="AN37" s="171"/>
      <c r="AO37" s="171"/>
      <c r="AP37" s="90">
        <f>SUM(AP5:AP36)</f>
        <v>0</v>
      </c>
      <c r="AQ37" s="119"/>
      <c r="AR37" s="90"/>
      <c r="AS37" s="120">
        <f>SUM(AS5:AS36)</f>
        <v>0</v>
      </c>
      <c r="AT37" s="5"/>
      <c r="AU37" s="5"/>
      <c r="AV37" s="5"/>
      <c r="AW37" s="5"/>
      <c r="AX37" s="5"/>
      <c r="AY37" s="5"/>
      <c r="AZ37" s="5"/>
      <c r="BA37" s="5"/>
      <c r="BB37" s="5"/>
      <c r="BC37" s="10"/>
      <c r="BD37" s="5"/>
      <c r="BE37" s="5"/>
      <c r="BF37" s="5"/>
      <c r="BG37" s="5"/>
      <c r="BU37" s="56"/>
      <c r="BV37" s="57"/>
      <c r="BW37" s="35"/>
      <c r="BX37" s="35"/>
      <c r="BY37" s="36">
        <f t="shared" si="22"/>
        <v>0</v>
      </c>
      <c r="BZ37" s="78"/>
      <c r="CA37" s="36">
        <f t="shared" si="23"/>
        <v>0</v>
      </c>
      <c r="CB37" s="38">
        <f>CA37*AB88/AE88</f>
        <v>0</v>
      </c>
      <c r="CC37" s="5"/>
      <c r="CD37" s="5"/>
      <c r="CE37" s="5"/>
      <c r="CF37" s="5"/>
      <c r="CJ37" s="56"/>
      <c r="CK37" s="57"/>
      <c r="CL37" s="35"/>
      <c r="CM37" s="35"/>
      <c r="CN37" s="36">
        <f t="shared" si="20"/>
        <v>0</v>
      </c>
      <c r="CO37" s="104"/>
      <c r="CP37" s="36">
        <f t="shared" si="21"/>
        <v>0</v>
      </c>
      <c r="CQ37" s="38">
        <f>CP37*AB88/AE88</f>
        <v>0</v>
      </c>
      <c r="CR37" s="5"/>
      <c r="CS37" s="5"/>
      <c r="DG37" s="5"/>
    </row>
    <row r="38" spans="2:111" ht="15" customHeight="1" x14ac:dyDescent="0.2">
      <c r="B38" s="93" t="s">
        <v>105</v>
      </c>
      <c r="C38" s="94">
        <v>7</v>
      </c>
      <c r="D38" s="73">
        <f t="shared" si="17"/>
        <v>1400</v>
      </c>
      <c r="E38" s="95">
        <f>SUM(E39:E44)</f>
        <v>1400</v>
      </c>
      <c r="F38" s="96">
        <f>SUM(F39:F44)</f>
        <v>0</v>
      </c>
      <c r="L38" s="40"/>
      <c r="M38" s="49" t="s">
        <v>106</v>
      </c>
      <c r="N38" s="42" t="s">
        <v>107</v>
      </c>
      <c r="O38" s="42">
        <v>300</v>
      </c>
      <c r="P38" s="35">
        <v>0.01</v>
      </c>
      <c r="Q38" s="35"/>
      <c r="R38" s="50">
        <f>O38*P38</f>
        <v>3</v>
      </c>
      <c r="S38" s="50">
        <f>O38*Q38</f>
        <v>0</v>
      </c>
      <c r="T38" s="51">
        <f>R38+S38</f>
        <v>3</v>
      </c>
      <c r="U38" s="5"/>
      <c r="W38" s="8"/>
      <c r="X38" s="5"/>
      <c r="Y38" s="5"/>
      <c r="Z38" s="9"/>
      <c r="AA38" s="9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/>
      <c r="BB38"/>
      <c r="BC38"/>
      <c r="BD38"/>
      <c r="BE38"/>
      <c r="BF38"/>
      <c r="BG38"/>
      <c r="BU38" s="56"/>
      <c r="BV38" s="57"/>
      <c r="BW38" s="35"/>
      <c r="BX38" s="35"/>
      <c r="BY38" s="36">
        <f t="shared" si="22"/>
        <v>0</v>
      </c>
      <c r="BZ38" s="78"/>
      <c r="CA38" s="36">
        <f t="shared" si="23"/>
        <v>0</v>
      </c>
      <c r="CB38" s="38">
        <f>CA38*AB88/AE88</f>
        <v>0</v>
      </c>
      <c r="CC38" s="5"/>
      <c r="CD38" s="5"/>
      <c r="CE38" s="5"/>
      <c r="CF38" s="5"/>
      <c r="CJ38" s="56"/>
      <c r="CK38" s="57"/>
      <c r="CL38" s="35"/>
      <c r="CM38" s="35"/>
      <c r="CN38" s="36">
        <f t="shared" si="20"/>
        <v>0</v>
      </c>
      <c r="CO38" s="104"/>
      <c r="CP38" s="36">
        <f t="shared" si="21"/>
        <v>0</v>
      </c>
      <c r="CQ38" s="38">
        <f>CP38*AB88/AE88</f>
        <v>0</v>
      </c>
      <c r="CR38" s="5"/>
      <c r="CS38" s="5"/>
      <c r="DG38" s="5"/>
    </row>
    <row r="39" spans="2:111" ht="15" customHeight="1" x14ac:dyDescent="0.2">
      <c r="B39" s="81" t="s">
        <v>108</v>
      </c>
      <c r="C39" s="82">
        <v>7.1</v>
      </c>
      <c r="D39" s="83">
        <f t="shared" si="17"/>
        <v>1400</v>
      </c>
      <c r="E39" s="84">
        <f>CP14</f>
        <v>1400</v>
      </c>
      <c r="F39" s="85">
        <f>CB15</f>
        <v>0</v>
      </c>
      <c r="L39" s="40"/>
      <c r="M39" s="49"/>
      <c r="N39" s="42"/>
      <c r="O39" s="42"/>
      <c r="P39" s="35"/>
      <c r="Q39" s="35"/>
      <c r="R39" s="50">
        <f>O39*P39</f>
        <v>0</v>
      </c>
      <c r="S39" s="50">
        <f>O39*Q39</f>
        <v>0</v>
      </c>
      <c r="T39" s="51">
        <f>R39+S39</f>
        <v>0</v>
      </c>
      <c r="U39" s="5"/>
      <c r="W39" s="8"/>
      <c r="X39" s="5"/>
      <c r="Y39" s="5"/>
      <c r="Z39" s="9"/>
      <c r="AA39" s="9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/>
      <c r="BB39"/>
      <c r="BC39"/>
      <c r="BD39"/>
      <c r="BE39"/>
      <c r="BF39"/>
      <c r="BG39"/>
      <c r="BU39" s="56"/>
      <c r="BV39" s="57"/>
      <c r="BW39" s="35"/>
      <c r="BX39" s="35"/>
      <c r="BY39" s="36">
        <f t="shared" si="22"/>
        <v>0</v>
      </c>
      <c r="BZ39" s="78"/>
      <c r="CA39" s="36">
        <f t="shared" si="23"/>
        <v>0</v>
      </c>
      <c r="CB39" s="38">
        <f>CA39*AB88/AE88</f>
        <v>0</v>
      </c>
      <c r="CC39" s="5"/>
      <c r="CD39" s="5"/>
      <c r="CE39" s="5"/>
      <c r="CF39" s="5"/>
      <c r="CJ39" s="56"/>
      <c r="CK39" s="57"/>
      <c r="CL39" s="35"/>
      <c r="CM39" s="35"/>
      <c r="CN39" s="36">
        <f t="shared" si="20"/>
        <v>0</v>
      </c>
      <c r="CO39" s="104"/>
      <c r="CP39" s="36">
        <f t="shared" si="21"/>
        <v>0</v>
      </c>
      <c r="CQ39" s="38">
        <f>CP39*AB88/AE88</f>
        <v>0</v>
      </c>
      <c r="CR39" s="5"/>
      <c r="CS39" s="5"/>
      <c r="DG39" s="5"/>
    </row>
    <row r="40" spans="2:111" ht="15" customHeight="1" thickBot="1" x14ac:dyDescent="0.25">
      <c r="B40" s="81" t="s">
        <v>109</v>
      </c>
      <c r="C40" s="82">
        <v>7.2</v>
      </c>
      <c r="D40" s="83">
        <f t="shared" si="17"/>
        <v>0</v>
      </c>
      <c r="E40" s="84">
        <f>CP61</f>
        <v>0</v>
      </c>
      <c r="F40" s="85">
        <f>CQ61</f>
        <v>0</v>
      </c>
      <c r="L40" s="122"/>
      <c r="M40" s="123" t="s">
        <v>21</v>
      </c>
      <c r="N40" s="124"/>
      <c r="O40" s="42">
        <v>300</v>
      </c>
      <c r="P40" s="35">
        <v>0.01</v>
      </c>
      <c r="Q40" s="125"/>
      <c r="R40" s="50">
        <f>O40*P40</f>
        <v>3</v>
      </c>
      <c r="S40" s="125">
        <f>SUM(S38:S39)</f>
        <v>0</v>
      </c>
      <c r="T40" s="126">
        <f>SUM(T38:T39)</f>
        <v>3</v>
      </c>
      <c r="U40" s="5"/>
      <c r="W40" s="8"/>
      <c r="X40" s="5"/>
      <c r="Y40" s="5"/>
      <c r="Z40" s="9"/>
      <c r="AA40" s="9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/>
      <c r="BB40"/>
      <c r="BC40"/>
      <c r="BD40"/>
      <c r="BE40"/>
      <c r="BF40"/>
      <c r="BG40"/>
      <c r="BU40" s="56"/>
      <c r="BV40" s="57"/>
      <c r="BW40" s="35"/>
      <c r="BX40" s="35"/>
      <c r="BY40" s="36">
        <f t="shared" si="22"/>
        <v>0</v>
      </c>
      <c r="BZ40" s="78"/>
      <c r="CA40" s="36">
        <f t="shared" si="23"/>
        <v>0</v>
      </c>
      <c r="CB40" s="38">
        <f>CA40*AB88/AE88</f>
        <v>0</v>
      </c>
      <c r="CC40" s="5"/>
      <c r="CD40" s="5"/>
      <c r="CE40" s="5"/>
      <c r="CF40" s="5"/>
      <c r="CJ40" s="56"/>
      <c r="CK40" s="57"/>
      <c r="CL40" s="35"/>
      <c r="CM40" s="35"/>
      <c r="CN40" s="36">
        <f t="shared" si="20"/>
        <v>0</v>
      </c>
      <c r="CO40" s="104"/>
      <c r="CP40" s="60"/>
      <c r="CQ40" s="38">
        <f>CP40*AB88/AE88</f>
        <v>0</v>
      </c>
      <c r="CR40" s="5"/>
      <c r="CS40" s="5"/>
      <c r="DG40" s="5"/>
    </row>
    <row r="41" spans="2:111" ht="15" customHeight="1" thickBot="1" x14ac:dyDescent="0.3">
      <c r="B41" s="81" t="s">
        <v>84</v>
      </c>
      <c r="C41" s="82">
        <v>7.3</v>
      </c>
      <c r="D41" s="83">
        <f t="shared" si="17"/>
        <v>0</v>
      </c>
      <c r="E41" s="84">
        <f>(CQ41+CU93)*D10</f>
        <v>0</v>
      </c>
      <c r="F41" s="85">
        <f>CV93*D10</f>
        <v>0</v>
      </c>
      <c r="L41" s="5"/>
      <c r="M41" s="5"/>
      <c r="N41" s="5"/>
      <c r="O41" s="5"/>
      <c r="P41" s="5"/>
      <c r="Q41" s="5"/>
      <c r="R41" s="5"/>
      <c r="S41" s="5"/>
      <c r="T41" s="5"/>
      <c r="U41" s="5"/>
      <c r="W41" s="182" t="s">
        <v>110</v>
      </c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5"/>
      <c r="AK41" s="5"/>
      <c r="AL41" s="182" t="s">
        <v>111</v>
      </c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5"/>
      <c r="AZ41" s="5"/>
      <c r="BA41" s="172" t="s">
        <v>112</v>
      </c>
      <c r="BB41" s="172"/>
      <c r="BC41" s="172"/>
      <c r="BD41" s="172"/>
      <c r="BE41" s="172"/>
      <c r="BF41" s="172"/>
      <c r="BG41" s="172"/>
      <c r="BU41" s="56"/>
      <c r="BV41" s="57"/>
      <c r="BW41" s="35"/>
      <c r="BX41" s="35"/>
      <c r="BY41" s="36">
        <f t="shared" si="22"/>
        <v>0</v>
      </c>
      <c r="BZ41" s="78"/>
      <c r="CA41" s="60"/>
      <c r="CB41" s="38">
        <f>CA41*AB88/AE88</f>
        <v>0</v>
      </c>
      <c r="CC41" s="5"/>
      <c r="CD41" s="5"/>
      <c r="CE41" s="5"/>
      <c r="CF41" s="5"/>
      <c r="CJ41" s="171" t="s">
        <v>21</v>
      </c>
      <c r="CK41" s="171"/>
      <c r="CL41" s="171"/>
      <c r="CM41" s="171"/>
      <c r="CN41" s="90">
        <f>SUM(CN21:CN40)</f>
        <v>0</v>
      </c>
      <c r="CO41" s="119"/>
      <c r="CP41" s="90"/>
      <c r="CQ41" s="120">
        <f>SUM(CQ21:CQ40)</f>
        <v>0</v>
      </c>
      <c r="CR41" s="5"/>
      <c r="CS41" s="5"/>
      <c r="DG41" s="5"/>
    </row>
    <row r="42" spans="2:111" ht="15" customHeight="1" thickBot="1" x14ac:dyDescent="0.3">
      <c r="B42" s="81" t="s">
        <v>113</v>
      </c>
      <c r="C42" s="82">
        <v>7.4</v>
      </c>
      <c r="D42" s="83">
        <f t="shared" si="17"/>
        <v>0</v>
      </c>
      <c r="E42" s="106"/>
      <c r="F42" s="85">
        <f>CX15*D10</f>
        <v>0</v>
      </c>
      <c r="L42" s="5"/>
      <c r="M42" s="5"/>
      <c r="N42" s="5"/>
      <c r="O42" s="5"/>
      <c r="P42" s="5"/>
      <c r="Q42" s="5"/>
      <c r="R42" s="5"/>
      <c r="S42" s="5"/>
      <c r="T42" s="5"/>
      <c r="U42" s="5"/>
      <c r="W42" s="8"/>
      <c r="X42" s="5"/>
      <c r="Y42" s="5"/>
      <c r="Z42" s="9"/>
      <c r="AA42" s="9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8"/>
      <c r="AM42" s="5"/>
      <c r="AN42" s="5"/>
      <c r="AO42" s="9"/>
      <c r="AP42" s="9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10"/>
      <c r="BD42" s="5"/>
      <c r="BE42" s="5"/>
      <c r="BF42" s="5"/>
      <c r="BG42" s="5"/>
      <c r="BU42" s="171" t="s">
        <v>21</v>
      </c>
      <c r="BV42" s="171"/>
      <c r="BW42" s="171"/>
      <c r="BX42" s="171"/>
      <c r="BY42" s="119">
        <f>SUM(BY22:BY41)</f>
        <v>0</v>
      </c>
      <c r="BZ42" s="119"/>
      <c r="CA42" s="90"/>
      <c r="CB42" s="120">
        <f>SUM(CB22:CB41)</f>
        <v>0</v>
      </c>
      <c r="CC42" s="5"/>
      <c r="CD42" s="5"/>
      <c r="CE42" s="5"/>
      <c r="CF42" s="5"/>
      <c r="CJ42" s="5"/>
      <c r="CK42" s="5"/>
      <c r="CL42" s="5"/>
      <c r="CM42" s="5"/>
      <c r="CN42" s="5"/>
      <c r="CO42" s="5"/>
      <c r="CP42" s="127"/>
      <c r="CQ42" s="127"/>
      <c r="CR42" s="5"/>
      <c r="CS42" s="5"/>
      <c r="DG42" s="5"/>
    </row>
    <row r="43" spans="2:111" ht="33.6" customHeight="1" x14ac:dyDescent="0.25">
      <c r="B43" s="105" t="s">
        <v>114</v>
      </c>
      <c r="C43" s="82">
        <v>7.5</v>
      </c>
      <c r="D43" s="83">
        <f t="shared" si="17"/>
        <v>0</v>
      </c>
      <c r="E43" s="106"/>
      <c r="F43" s="103"/>
      <c r="L43" s="5"/>
      <c r="M43" s="5"/>
      <c r="N43" s="5"/>
      <c r="O43" s="5"/>
      <c r="P43" s="5"/>
      <c r="Q43" s="5"/>
      <c r="R43" s="5"/>
      <c r="S43" s="5"/>
      <c r="T43" s="5"/>
      <c r="U43" s="5"/>
      <c r="W43" s="15" t="s">
        <v>22</v>
      </c>
      <c r="X43" s="16" t="s">
        <v>23</v>
      </c>
      <c r="Y43" s="179" t="s">
        <v>24</v>
      </c>
      <c r="Z43" s="179"/>
      <c r="AA43" s="180" t="s">
        <v>115</v>
      </c>
      <c r="AB43" s="180"/>
      <c r="AC43" s="180" t="s">
        <v>26</v>
      </c>
      <c r="AD43" s="180"/>
      <c r="AE43" s="16" t="s">
        <v>116</v>
      </c>
      <c r="AF43" s="180" t="s">
        <v>28</v>
      </c>
      <c r="AG43" s="180"/>
      <c r="AH43" s="181" t="s">
        <v>117</v>
      </c>
      <c r="AI43" s="181"/>
      <c r="AJ43" s="5"/>
      <c r="AK43" s="5"/>
      <c r="AL43" s="15" t="s">
        <v>22</v>
      </c>
      <c r="AM43" s="16" t="s">
        <v>23</v>
      </c>
      <c r="AN43" s="179" t="s">
        <v>24</v>
      </c>
      <c r="AO43" s="179"/>
      <c r="AP43" s="180" t="s">
        <v>88</v>
      </c>
      <c r="AQ43" s="180"/>
      <c r="AR43" s="180" t="s">
        <v>26</v>
      </c>
      <c r="AS43" s="180"/>
      <c r="AT43" s="16" t="s">
        <v>116</v>
      </c>
      <c r="AU43" s="180" t="s">
        <v>28</v>
      </c>
      <c r="AV43" s="180"/>
      <c r="AW43" s="181" t="s">
        <v>117</v>
      </c>
      <c r="AX43" s="181"/>
      <c r="AY43" s="5"/>
      <c r="AZ43" s="5"/>
      <c r="BA43" s="21" t="s">
        <v>31</v>
      </c>
      <c r="BB43" s="22" t="s">
        <v>32</v>
      </c>
      <c r="BC43" s="23" t="s">
        <v>33</v>
      </c>
      <c r="BD43" s="23" t="s">
        <v>34</v>
      </c>
      <c r="BE43" s="23" t="s">
        <v>35</v>
      </c>
      <c r="BF43" s="23" t="s">
        <v>36</v>
      </c>
      <c r="BG43" s="24" t="s">
        <v>37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DG43" s="5"/>
    </row>
    <row r="44" spans="2:111" ht="15" customHeight="1" x14ac:dyDescent="0.25">
      <c r="B44" s="105" t="s">
        <v>118</v>
      </c>
      <c r="C44" s="82">
        <v>7.6</v>
      </c>
      <c r="D44" s="83">
        <f t="shared" si="17"/>
        <v>0</v>
      </c>
      <c r="E44" s="106"/>
      <c r="F44" s="103"/>
      <c r="L44" s="5"/>
      <c r="M44" s="5"/>
      <c r="N44" s="5"/>
      <c r="O44" s="5"/>
      <c r="P44" s="5"/>
      <c r="Q44" s="5"/>
      <c r="R44" s="5"/>
      <c r="S44" s="5"/>
      <c r="T44" s="5"/>
      <c r="U44" s="5"/>
      <c r="W44" s="128"/>
      <c r="X44" s="129"/>
      <c r="Y44" s="130" t="s">
        <v>119</v>
      </c>
      <c r="Z44" s="131" t="s">
        <v>45</v>
      </c>
      <c r="AA44" s="130" t="s">
        <v>119</v>
      </c>
      <c r="AB44" s="131" t="s">
        <v>45</v>
      </c>
      <c r="AC44" s="130" t="s">
        <v>119</v>
      </c>
      <c r="AD44" s="131" t="s">
        <v>45</v>
      </c>
      <c r="AE44" s="131" t="s">
        <v>120</v>
      </c>
      <c r="AF44" s="130" t="s">
        <v>119</v>
      </c>
      <c r="AG44" s="131" t="s">
        <v>45</v>
      </c>
      <c r="AH44" s="130" t="s">
        <v>119</v>
      </c>
      <c r="AI44" s="132" t="s">
        <v>45</v>
      </c>
      <c r="AJ44" s="5"/>
      <c r="AK44" s="5"/>
      <c r="AL44" s="128"/>
      <c r="AM44" s="129"/>
      <c r="AN44" s="130" t="s">
        <v>119</v>
      </c>
      <c r="AO44" s="131" t="s">
        <v>45</v>
      </c>
      <c r="AP44" s="130" t="s">
        <v>119</v>
      </c>
      <c r="AQ44" s="131" t="s">
        <v>45</v>
      </c>
      <c r="AR44" s="130" t="s">
        <v>119</v>
      </c>
      <c r="AS44" s="131" t="s">
        <v>45</v>
      </c>
      <c r="AT44" s="131" t="s">
        <v>120</v>
      </c>
      <c r="AU44" s="130" t="s">
        <v>119</v>
      </c>
      <c r="AV44" s="131" t="s">
        <v>45</v>
      </c>
      <c r="AW44" s="130" t="s">
        <v>119</v>
      </c>
      <c r="AX44" s="132" t="s">
        <v>45</v>
      </c>
      <c r="AY44" s="5"/>
      <c r="AZ44" s="5"/>
      <c r="BA44" s="40"/>
      <c r="BB44" s="41"/>
      <c r="BC44" s="42"/>
      <c r="BD44" s="35"/>
      <c r="BE44" s="43">
        <f t="shared" ref="BE44:BE54" si="24">BD44/190.6</f>
        <v>0</v>
      </c>
      <c r="BF44" s="35"/>
      <c r="BG44" s="44">
        <f t="shared" ref="BG44:BG54" si="25">BE44*BF44*BB44</f>
        <v>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</row>
    <row r="45" spans="2:111" ht="15" customHeight="1" x14ac:dyDescent="0.25">
      <c r="B45" s="93" t="s">
        <v>11</v>
      </c>
      <c r="C45" s="94">
        <v>8</v>
      </c>
      <c r="D45" s="73">
        <f t="shared" si="17"/>
        <v>0</v>
      </c>
      <c r="E45" s="95">
        <f>SUM(E46:E50)</f>
        <v>0</v>
      </c>
      <c r="F45" s="96">
        <f>SUM(F46:F50)</f>
        <v>0</v>
      </c>
      <c r="L45" s="172" t="s">
        <v>121</v>
      </c>
      <c r="M45" s="172"/>
      <c r="N45" s="172"/>
      <c r="O45" s="172"/>
      <c r="P45" s="172"/>
      <c r="Q45" s="172"/>
      <c r="R45" s="172"/>
      <c r="S45" s="172"/>
      <c r="T45" s="172"/>
      <c r="U45" s="5"/>
      <c r="W45" s="56"/>
      <c r="X45" s="133"/>
      <c r="Y45" s="35">
        <v>10107.5</v>
      </c>
      <c r="Z45" s="35"/>
      <c r="AA45" s="35"/>
      <c r="AB45" s="35"/>
      <c r="AC45" s="60">
        <f t="shared" ref="AC45:AD54" si="26">Y45-AA45</f>
        <v>10107.5</v>
      </c>
      <c r="AD45" s="60">
        <f t="shared" si="26"/>
        <v>0</v>
      </c>
      <c r="AE45" s="78">
        <v>6</v>
      </c>
      <c r="AF45" s="60">
        <f t="shared" ref="AF45:AF54" si="27">AC45*AE45%</f>
        <v>606.44999999999993</v>
      </c>
      <c r="AG45" s="60">
        <f t="shared" ref="AG45:AG54" si="28">AD45*AE45%</f>
        <v>0</v>
      </c>
      <c r="AH45" s="134">
        <f>AF45*AB88/AE88</f>
        <v>8.7738715277777771E-4</v>
      </c>
      <c r="AI45" s="61">
        <f>AG45*AB88/AE88</f>
        <v>0</v>
      </c>
      <c r="AJ45" s="5"/>
      <c r="AK45" s="5"/>
      <c r="AL45" s="56"/>
      <c r="AM45" s="57"/>
      <c r="AN45" s="35"/>
      <c r="AO45" s="35"/>
      <c r="AP45" s="35"/>
      <c r="AQ45" s="35"/>
      <c r="AR45" s="60">
        <f t="shared" ref="AR45:AS54" si="29">AN45-AP45</f>
        <v>0</v>
      </c>
      <c r="AS45" s="60">
        <f t="shared" si="29"/>
        <v>0</v>
      </c>
      <c r="AT45" s="78">
        <v>6</v>
      </c>
      <c r="AU45" s="60">
        <f t="shared" ref="AU45:AU54" si="30">AR45*AT45%</f>
        <v>0</v>
      </c>
      <c r="AV45" s="60">
        <f t="shared" ref="AV45:AV54" si="31">AS45*AT45%</f>
        <v>0</v>
      </c>
      <c r="AW45" s="134">
        <f>AU45*AB88/AE88</f>
        <v>0</v>
      </c>
      <c r="AX45" s="61">
        <f>AV45*AB88/AE88</f>
        <v>0</v>
      </c>
      <c r="AY45" s="5"/>
      <c r="AZ45" s="5"/>
      <c r="BA45" s="40"/>
      <c r="BB45" s="41"/>
      <c r="BC45" s="42"/>
      <c r="BD45" s="35"/>
      <c r="BE45" s="43">
        <f t="shared" si="24"/>
        <v>0</v>
      </c>
      <c r="BF45" s="35"/>
      <c r="BG45" s="44">
        <f t="shared" si="25"/>
        <v>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</row>
    <row r="46" spans="2:111" ht="15" customHeight="1" thickBot="1" x14ac:dyDescent="0.25">
      <c r="B46" s="81" t="s">
        <v>108</v>
      </c>
      <c r="C46" s="82">
        <v>8.1</v>
      </c>
      <c r="D46" s="83">
        <f t="shared" si="17"/>
        <v>0</v>
      </c>
      <c r="E46" s="84">
        <f>CA15</f>
        <v>0</v>
      </c>
      <c r="F46" s="85">
        <f>CB15</f>
        <v>0</v>
      </c>
      <c r="L46" s="5"/>
      <c r="M46" s="5"/>
      <c r="N46" s="5"/>
      <c r="O46" s="5"/>
      <c r="P46" s="5"/>
      <c r="Q46" s="5"/>
      <c r="R46" s="5"/>
      <c r="S46" s="5"/>
      <c r="T46" s="5"/>
      <c r="U46" s="5"/>
      <c r="W46" s="56"/>
      <c r="X46" s="57"/>
      <c r="Y46" s="35">
        <v>7628.1</v>
      </c>
      <c r="Z46" s="35"/>
      <c r="AA46" s="35"/>
      <c r="AB46" s="35"/>
      <c r="AC46" s="60">
        <f t="shared" si="26"/>
        <v>7628.1</v>
      </c>
      <c r="AD46" s="60">
        <f t="shared" si="26"/>
        <v>0</v>
      </c>
      <c r="AE46" s="78">
        <v>6</v>
      </c>
      <c r="AF46" s="60">
        <f t="shared" si="27"/>
        <v>457.68599999999998</v>
      </c>
      <c r="AG46" s="60">
        <f t="shared" si="28"/>
        <v>0</v>
      </c>
      <c r="AH46" s="134">
        <f>AF46*AB88/AE88</f>
        <v>6.6216145833333329E-4</v>
      </c>
      <c r="AI46" s="61">
        <f>AG46*AB88/AE88</f>
        <v>0</v>
      </c>
      <c r="AJ46" s="5"/>
      <c r="AK46" s="5"/>
      <c r="AL46" s="56"/>
      <c r="AM46" s="57"/>
      <c r="AN46" s="35"/>
      <c r="AO46" s="35"/>
      <c r="AP46" s="35"/>
      <c r="AQ46" s="35"/>
      <c r="AR46" s="60">
        <f t="shared" si="29"/>
        <v>0</v>
      </c>
      <c r="AS46" s="60">
        <f t="shared" si="29"/>
        <v>0</v>
      </c>
      <c r="AT46" s="78">
        <v>6</v>
      </c>
      <c r="AU46" s="60">
        <f t="shared" si="30"/>
        <v>0</v>
      </c>
      <c r="AV46" s="60">
        <f t="shared" si="31"/>
        <v>0</v>
      </c>
      <c r="AW46" s="134">
        <f>AU46*AB88/AE88</f>
        <v>0</v>
      </c>
      <c r="AX46" s="61">
        <f>AV46*AB88/AE88</f>
        <v>0</v>
      </c>
      <c r="AY46" s="5"/>
      <c r="AZ46" s="5"/>
      <c r="BA46" s="40"/>
      <c r="BB46" s="41"/>
      <c r="BC46" s="42"/>
      <c r="BD46" s="35"/>
      <c r="BE46" s="43">
        <f t="shared" si="24"/>
        <v>0</v>
      </c>
      <c r="BF46" s="35"/>
      <c r="BG46" s="44">
        <f t="shared" si="25"/>
        <v>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</row>
    <row r="47" spans="2:111" ht="15" customHeight="1" thickBot="1" x14ac:dyDescent="0.3">
      <c r="B47" s="81" t="s">
        <v>109</v>
      </c>
      <c r="C47" s="82">
        <v>8.1999999999999993</v>
      </c>
      <c r="D47" s="83">
        <f t="shared" si="17"/>
        <v>0</v>
      </c>
      <c r="E47" s="84">
        <f>CA62</f>
        <v>0</v>
      </c>
      <c r="F47" s="85">
        <f>CB62</f>
        <v>0</v>
      </c>
      <c r="L47" s="200" t="s">
        <v>38</v>
      </c>
      <c r="M47" s="201" t="s">
        <v>123</v>
      </c>
      <c r="N47" s="202" t="s">
        <v>124</v>
      </c>
      <c r="O47" s="202" t="s">
        <v>125</v>
      </c>
      <c r="P47" s="201" t="s">
        <v>19</v>
      </c>
      <c r="Q47" s="201"/>
      <c r="R47" s="201" t="s">
        <v>20</v>
      </c>
      <c r="S47" s="201"/>
      <c r="T47" s="203" t="s">
        <v>21</v>
      </c>
      <c r="U47" s="5"/>
      <c r="W47" s="56"/>
      <c r="X47" s="57"/>
      <c r="Y47" s="35">
        <v>5434.3140000000003</v>
      </c>
      <c r="Z47" s="35"/>
      <c r="AA47" s="35"/>
      <c r="AB47" s="35"/>
      <c r="AC47" s="60">
        <f t="shared" si="26"/>
        <v>5434.3140000000003</v>
      </c>
      <c r="AD47" s="60">
        <f t="shared" si="26"/>
        <v>0</v>
      </c>
      <c r="AE47" s="78">
        <v>3</v>
      </c>
      <c r="AF47" s="60">
        <f t="shared" si="27"/>
        <v>163.02942000000002</v>
      </c>
      <c r="AG47" s="60">
        <f t="shared" si="28"/>
        <v>0</v>
      </c>
      <c r="AH47" s="134">
        <f>AF47*AB88/AE88</f>
        <v>2.3586432291666668E-4</v>
      </c>
      <c r="AI47" s="61">
        <f>AG47*AB88/AE88</f>
        <v>0</v>
      </c>
      <c r="AJ47" s="5"/>
      <c r="AK47" s="5"/>
      <c r="AL47" s="56"/>
      <c r="AM47" s="57"/>
      <c r="AN47" s="35"/>
      <c r="AO47" s="35"/>
      <c r="AP47" s="35"/>
      <c r="AQ47" s="35"/>
      <c r="AR47" s="60">
        <f t="shared" si="29"/>
        <v>0</v>
      </c>
      <c r="AS47" s="60">
        <f t="shared" si="29"/>
        <v>0</v>
      </c>
      <c r="AT47" s="78">
        <v>3</v>
      </c>
      <c r="AU47" s="60">
        <f t="shared" si="30"/>
        <v>0</v>
      </c>
      <c r="AV47" s="60">
        <f t="shared" si="31"/>
        <v>0</v>
      </c>
      <c r="AW47" s="134">
        <f>AU47*AB88/AE88</f>
        <v>0</v>
      </c>
      <c r="AX47" s="61">
        <f>AV47*AB88/AE88</f>
        <v>0</v>
      </c>
      <c r="AY47" s="5"/>
      <c r="AZ47" s="5"/>
      <c r="BA47" s="40"/>
      <c r="BB47" s="41"/>
      <c r="BC47" s="42"/>
      <c r="BD47" s="35"/>
      <c r="BE47" s="43">
        <f t="shared" si="24"/>
        <v>0</v>
      </c>
      <c r="BF47" s="35"/>
      <c r="BG47" s="44">
        <f t="shared" si="25"/>
        <v>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J47" s="172" t="s">
        <v>121</v>
      </c>
      <c r="CK47" s="172"/>
      <c r="CL47" s="172"/>
      <c r="CM47" s="172"/>
      <c r="CN47" s="172"/>
      <c r="CO47" s="172"/>
      <c r="CP47" s="172"/>
      <c r="CQ47" s="172"/>
      <c r="CR47" s="172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</row>
    <row r="48" spans="2:111" ht="15" customHeight="1" thickBot="1" x14ac:dyDescent="0.3">
      <c r="B48" s="81" t="s">
        <v>84</v>
      </c>
      <c r="C48" s="82">
        <v>8.3000000000000007</v>
      </c>
      <c r="D48" s="83">
        <f t="shared" si="17"/>
        <v>0</v>
      </c>
      <c r="E48" s="84">
        <f>(CB42+CF92)*D10</f>
        <v>0</v>
      </c>
      <c r="F48" s="85">
        <f>CG92*D10</f>
        <v>0</v>
      </c>
      <c r="L48" s="200"/>
      <c r="M48" s="201"/>
      <c r="N48" s="202"/>
      <c r="O48" s="202"/>
      <c r="P48" s="45" t="s">
        <v>44</v>
      </c>
      <c r="Q48" s="45" t="s">
        <v>45</v>
      </c>
      <c r="R48" s="45" t="s">
        <v>44</v>
      </c>
      <c r="S48" s="45" t="s">
        <v>45</v>
      </c>
      <c r="T48" s="203"/>
      <c r="U48" s="5"/>
      <c r="W48" s="56"/>
      <c r="X48" s="57"/>
      <c r="Y48" s="35">
        <v>777.49</v>
      </c>
      <c r="Z48" s="35"/>
      <c r="AA48" s="35"/>
      <c r="AB48" s="35"/>
      <c r="AC48" s="60">
        <f t="shared" si="26"/>
        <v>777.49</v>
      </c>
      <c r="AD48" s="60">
        <f t="shared" si="26"/>
        <v>0</v>
      </c>
      <c r="AE48" s="78">
        <v>3</v>
      </c>
      <c r="AF48" s="60">
        <f t="shared" si="27"/>
        <v>23.3247</v>
      </c>
      <c r="AG48" s="60">
        <f t="shared" si="28"/>
        <v>0</v>
      </c>
      <c r="AH48" s="134">
        <f>AF48*AB88/AE88</f>
        <v>3.3745225694444446E-5</v>
      </c>
      <c r="AI48" s="61">
        <f>AG48*AB88/AE88</f>
        <v>0</v>
      </c>
      <c r="AJ48" s="5"/>
      <c r="AK48" s="5"/>
      <c r="AL48" s="56"/>
      <c r="AM48" s="57"/>
      <c r="AN48" s="35"/>
      <c r="AO48" s="35"/>
      <c r="AP48" s="35"/>
      <c r="AQ48" s="35"/>
      <c r="AR48" s="60">
        <f t="shared" si="29"/>
        <v>0</v>
      </c>
      <c r="AS48" s="60">
        <f t="shared" si="29"/>
        <v>0</v>
      </c>
      <c r="AT48" s="78">
        <v>3</v>
      </c>
      <c r="AU48" s="60">
        <f t="shared" si="30"/>
        <v>0</v>
      </c>
      <c r="AV48" s="60">
        <f t="shared" si="31"/>
        <v>0</v>
      </c>
      <c r="AW48" s="134">
        <f>AU48*AB88/AE88</f>
        <v>0</v>
      </c>
      <c r="AX48" s="61">
        <f>AV48*AB88/AE88</f>
        <v>0</v>
      </c>
      <c r="AY48" s="5"/>
      <c r="AZ48" s="5"/>
      <c r="BA48" s="40"/>
      <c r="BB48" s="41"/>
      <c r="BC48" s="42"/>
      <c r="BD48" s="35"/>
      <c r="BE48" s="43">
        <f t="shared" si="24"/>
        <v>0</v>
      </c>
      <c r="BF48" s="35"/>
      <c r="BG48" s="44">
        <f t="shared" si="25"/>
        <v>0</v>
      </c>
      <c r="BU48" s="172" t="s">
        <v>121</v>
      </c>
      <c r="BV48" s="172"/>
      <c r="BW48" s="172"/>
      <c r="BX48" s="172"/>
      <c r="BY48" s="172"/>
      <c r="BZ48" s="172"/>
      <c r="CA48" s="172"/>
      <c r="CB48" s="172"/>
      <c r="CC48" s="172"/>
      <c r="CD48" s="5"/>
      <c r="CE48" s="5"/>
      <c r="CF48" s="5"/>
      <c r="CG48" s="5"/>
      <c r="CH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</row>
    <row r="49" spans="2:111" ht="15" customHeight="1" thickBot="1" x14ac:dyDescent="0.3">
      <c r="B49" s="81" t="s">
        <v>127</v>
      </c>
      <c r="C49" s="82">
        <v>8.4</v>
      </c>
      <c r="D49" s="83">
        <f t="shared" si="17"/>
        <v>0</v>
      </c>
      <c r="E49" s="106"/>
      <c r="F49" s="85">
        <f>DA15*D10</f>
        <v>0</v>
      </c>
      <c r="L49" s="40"/>
      <c r="M49" s="133" t="s">
        <v>160</v>
      </c>
      <c r="N49" s="42">
        <v>1</v>
      </c>
      <c r="O49" s="42">
        <v>8</v>
      </c>
      <c r="P49" s="35">
        <v>0.18</v>
      </c>
      <c r="Q49" s="35">
        <v>0</v>
      </c>
      <c r="R49" s="53">
        <f t="shared" ref="R49:R54" si="32">N49*O49*P49</f>
        <v>1.44</v>
      </c>
      <c r="S49" s="53">
        <f t="shared" ref="S49:S54" si="33">N49*O49*Q49</f>
        <v>0</v>
      </c>
      <c r="T49" s="44">
        <f t="shared" ref="T49:T54" si="34">R49+S49</f>
        <v>1.44</v>
      </c>
      <c r="U49" s="5"/>
      <c r="W49" s="56"/>
      <c r="X49" s="57"/>
      <c r="Y49" s="35">
        <v>1999</v>
      </c>
      <c r="Z49" s="35"/>
      <c r="AA49" s="35"/>
      <c r="AB49" s="35"/>
      <c r="AC49" s="60">
        <f t="shared" si="26"/>
        <v>1999</v>
      </c>
      <c r="AD49" s="60">
        <f t="shared" si="26"/>
        <v>0</v>
      </c>
      <c r="AE49" s="78">
        <v>3</v>
      </c>
      <c r="AF49" s="60">
        <f t="shared" si="27"/>
        <v>59.97</v>
      </c>
      <c r="AG49" s="60">
        <f t="shared" si="28"/>
        <v>0</v>
      </c>
      <c r="AH49" s="134">
        <f>AF49*AB88/AE88</f>
        <v>8.6762152777777781E-5</v>
      </c>
      <c r="AI49" s="61">
        <f>AG49*AB88/AE88</f>
        <v>0</v>
      </c>
      <c r="AJ49" s="5"/>
      <c r="AK49" s="5"/>
      <c r="AL49" s="56"/>
      <c r="AM49" s="57"/>
      <c r="AN49" s="35"/>
      <c r="AO49" s="35"/>
      <c r="AP49" s="35"/>
      <c r="AQ49" s="35"/>
      <c r="AR49" s="60">
        <f t="shared" si="29"/>
        <v>0</v>
      </c>
      <c r="AS49" s="60">
        <f t="shared" si="29"/>
        <v>0</v>
      </c>
      <c r="AT49" s="78">
        <v>3</v>
      </c>
      <c r="AU49" s="60">
        <f t="shared" si="30"/>
        <v>0</v>
      </c>
      <c r="AV49" s="60">
        <f t="shared" si="31"/>
        <v>0</v>
      </c>
      <c r="AW49" s="134">
        <f>AU49*AB88/AE88</f>
        <v>0</v>
      </c>
      <c r="AX49" s="61">
        <f>AV49*AB88/AE88</f>
        <v>0</v>
      </c>
      <c r="AY49" s="5"/>
      <c r="AZ49" s="5"/>
      <c r="BA49" s="40"/>
      <c r="BB49" s="41"/>
      <c r="BC49" s="42"/>
      <c r="BD49" s="35"/>
      <c r="BE49" s="43">
        <f t="shared" si="24"/>
        <v>0</v>
      </c>
      <c r="BF49" s="35"/>
      <c r="BG49" s="44">
        <f t="shared" si="25"/>
        <v>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J49" s="199" t="s">
        <v>38</v>
      </c>
      <c r="CK49" s="197" t="s">
        <v>123</v>
      </c>
      <c r="CL49" s="180" t="s">
        <v>129</v>
      </c>
      <c r="CM49" s="180" t="s">
        <v>36</v>
      </c>
      <c r="CN49" s="197" t="s">
        <v>19</v>
      </c>
      <c r="CO49" s="197"/>
      <c r="CP49" s="197" t="s">
        <v>20</v>
      </c>
      <c r="CQ49" s="197"/>
      <c r="CR49" s="198" t="s">
        <v>21</v>
      </c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</row>
    <row r="50" spans="2:111" ht="15" customHeight="1" thickBot="1" x14ac:dyDescent="0.3">
      <c r="B50" s="105" t="s">
        <v>118</v>
      </c>
      <c r="C50" s="82">
        <v>8.5</v>
      </c>
      <c r="D50" s="83">
        <f t="shared" si="17"/>
        <v>0</v>
      </c>
      <c r="E50" s="106"/>
      <c r="F50" s="135"/>
      <c r="L50" s="40"/>
      <c r="M50" s="57"/>
      <c r="N50" s="42">
        <v>0</v>
      </c>
      <c r="O50" s="42">
        <v>8</v>
      </c>
      <c r="P50" s="35">
        <v>0.18</v>
      </c>
      <c r="Q50" s="35"/>
      <c r="R50" s="53">
        <f t="shared" si="32"/>
        <v>0</v>
      </c>
      <c r="S50" s="53">
        <f t="shared" si="33"/>
        <v>0</v>
      </c>
      <c r="T50" s="44">
        <f t="shared" si="34"/>
        <v>0</v>
      </c>
      <c r="U50" s="5"/>
      <c r="W50" s="56"/>
      <c r="X50" s="57"/>
      <c r="Y50" s="35"/>
      <c r="Z50" s="35"/>
      <c r="AA50" s="35"/>
      <c r="AB50" s="35"/>
      <c r="AC50" s="60">
        <f t="shared" si="26"/>
        <v>0</v>
      </c>
      <c r="AD50" s="60">
        <f t="shared" si="26"/>
        <v>0</v>
      </c>
      <c r="AE50" s="78"/>
      <c r="AF50" s="60">
        <f t="shared" si="27"/>
        <v>0</v>
      </c>
      <c r="AG50" s="60">
        <f t="shared" si="28"/>
        <v>0</v>
      </c>
      <c r="AH50" s="134">
        <f>AF50*AB88/AE88</f>
        <v>0</v>
      </c>
      <c r="AI50" s="61">
        <f>AG50*AB88/AE88</f>
        <v>0</v>
      </c>
      <c r="AJ50" s="5"/>
      <c r="AK50" s="5"/>
      <c r="AL50" s="56"/>
      <c r="AM50" s="57"/>
      <c r="AN50" s="35"/>
      <c r="AO50" s="35"/>
      <c r="AP50" s="35"/>
      <c r="AQ50" s="35"/>
      <c r="AR50" s="60">
        <f t="shared" si="29"/>
        <v>0</v>
      </c>
      <c r="AS50" s="60">
        <f t="shared" si="29"/>
        <v>0</v>
      </c>
      <c r="AT50" s="78"/>
      <c r="AU50" s="60">
        <f t="shared" si="30"/>
        <v>0</v>
      </c>
      <c r="AV50" s="60">
        <f t="shared" si="31"/>
        <v>0</v>
      </c>
      <c r="AW50" s="134">
        <f>AU50*AB88/AE88</f>
        <v>0</v>
      </c>
      <c r="AX50" s="61">
        <f>AV50*AB88/AE88</f>
        <v>0</v>
      </c>
      <c r="AY50" s="5"/>
      <c r="AZ50" s="5"/>
      <c r="BA50" s="40"/>
      <c r="BB50" s="41"/>
      <c r="BC50" s="42"/>
      <c r="BD50" s="35"/>
      <c r="BE50" s="43">
        <f t="shared" si="24"/>
        <v>0</v>
      </c>
      <c r="BF50" s="35"/>
      <c r="BG50" s="44">
        <f t="shared" si="25"/>
        <v>0</v>
      </c>
      <c r="BU50" s="199" t="s">
        <v>38</v>
      </c>
      <c r="BV50" s="197" t="s">
        <v>123</v>
      </c>
      <c r="BW50" s="180" t="s">
        <v>129</v>
      </c>
      <c r="BX50" s="180" t="s">
        <v>36</v>
      </c>
      <c r="BY50" s="197" t="s">
        <v>19</v>
      </c>
      <c r="BZ50" s="197"/>
      <c r="CA50" s="197" t="s">
        <v>20</v>
      </c>
      <c r="CB50" s="197"/>
      <c r="CC50" s="198" t="s">
        <v>21</v>
      </c>
      <c r="CD50" s="5"/>
      <c r="CE50" s="5"/>
      <c r="CF50" s="5"/>
      <c r="CG50" s="5"/>
      <c r="CH50" s="5"/>
      <c r="CJ50" s="199"/>
      <c r="CK50" s="197"/>
      <c r="CL50" s="180"/>
      <c r="CM50" s="180"/>
      <c r="CN50" s="54" t="s">
        <v>44</v>
      </c>
      <c r="CO50" s="54" t="s">
        <v>130</v>
      </c>
      <c r="CP50" s="54" t="s">
        <v>44</v>
      </c>
      <c r="CQ50" s="54" t="s">
        <v>130</v>
      </c>
      <c r="CR50" s="198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</row>
    <row r="51" spans="2:111" ht="15" customHeight="1" x14ac:dyDescent="0.25">
      <c r="B51" s="93" t="s">
        <v>131</v>
      </c>
      <c r="C51" s="94">
        <v>9</v>
      </c>
      <c r="D51" s="83">
        <f t="shared" si="17"/>
        <v>0.19753086419753099</v>
      </c>
      <c r="E51" s="84">
        <v>0.19753086419753099</v>
      </c>
      <c r="F51" s="85">
        <v>0</v>
      </c>
      <c r="L51" s="40"/>
      <c r="M51" s="57" t="s">
        <v>126</v>
      </c>
      <c r="N51" s="42">
        <v>0.55000000000000004</v>
      </c>
      <c r="O51" s="42">
        <v>8</v>
      </c>
      <c r="P51" s="35">
        <v>0.18</v>
      </c>
      <c r="Q51" s="35"/>
      <c r="R51" s="53">
        <f t="shared" si="32"/>
        <v>0.79200000000000004</v>
      </c>
      <c r="S51" s="53">
        <f t="shared" si="33"/>
        <v>0</v>
      </c>
      <c r="T51" s="44">
        <f t="shared" si="34"/>
        <v>0.79200000000000004</v>
      </c>
      <c r="U51" s="5"/>
      <c r="W51" s="56"/>
      <c r="X51" s="57"/>
      <c r="Y51" s="35"/>
      <c r="Z51" s="35"/>
      <c r="AA51" s="35"/>
      <c r="AB51" s="35"/>
      <c r="AC51" s="60">
        <f t="shared" si="26"/>
        <v>0</v>
      </c>
      <c r="AD51" s="60">
        <f t="shared" si="26"/>
        <v>0</v>
      </c>
      <c r="AE51" s="78"/>
      <c r="AF51" s="60">
        <f t="shared" si="27"/>
        <v>0</v>
      </c>
      <c r="AG51" s="60">
        <f t="shared" si="28"/>
        <v>0</v>
      </c>
      <c r="AH51" s="134">
        <f>AF51*AB88/AE88</f>
        <v>0</v>
      </c>
      <c r="AI51" s="61">
        <f>AG51*AB88/AE88</f>
        <v>0</v>
      </c>
      <c r="AJ51" s="5"/>
      <c r="AK51" s="5"/>
      <c r="AL51" s="56"/>
      <c r="AM51" s="57"/>
      <c r="AN51" s="35"/>
      <c r="AO51" s="35"/>
      <c r="AP51" s="35"/>
      <c r="AQ51" s="35"/>
      <c r="AR51" s="60">
        <f t="shared" si="29"/>
        <v>0</v>
      </c>
      <c r="AS51" s="60">
        <f t="shared" si="29"/>
        <v>0</v>
      </c>
      <c r="AT51" s="78"/>
      <c r="AU51" s="60">
        <f t="shared" si="30"/>
        <v>0</v>
      </c>
      <c r="AV51" s="60">
        <f t="shared" si="31"/>
        <v>0</v>
      </c>
      <c r="AW51" s="134">
        <f>AU51*AB88/AE88</f>
        <v>0</v>
      </c>
      <c r="AX51" s="61">
        <f>AV51*AB88/AE88</f>
        <v>0</v>
      </c>
      <c r="AY51" s="5"/>
      <c r="AZ51" s="5"/>
      <c r="BA51" s="40"/>
      <c r="BB51" s="41"/>
      <c r="BC51" s="42"/>
      <c r="BD51" s="35"/>
      <c r="BE51" s="43">
        <f t="shared" si="24"/>
        <v>0</v>
      </c>
      <c r="BF51" s="35"/>
      <c r="BG51" s="44">
        <f t="shared" si="25"/>
        <v>0</v>
      </c>
      <c r="BU51" s="199"/>
      <c r="BV51" s="197"/>
      <c r="BW51" s="180"/>
      <c r="BX51" s="180"/>
      <c r="BY51" s="54" t="s">
        <v>44</v>
      </c>
      <c r="BZ51" s="54" t="s">
        <v>130</v>
      </c>
      <c r="CA51" s="54" t="s">
        <v>44</v>
      </c>
      <c r="CB51" s="54" t="s">
        <v>130</v>
      </c>
      <c r="CC51" s="198"/>
      <c r="CD51" s="5"/>
      <c r="CE51" s="5"/>
      <c r="CF51" s="5"/>
      <c r="CG51" s="5"/>
      <c r="CH51" s="5"/>
      <c r="CJ51" s="40"/>
      <c r="CK51" s="49"/>
      <c r="CL51" s="42"/>
      <c r="CM51" s="42"/>
      <c r="CN51" s="35"/>
      <c r="CO51" s="35"/>
      <c r="CP51" s="60">
        <f>CL51*CM51*CN51</f>
        <v>0</v>
      </c>
      <c r="CQ51" s="60">
        <f>CL51*CM51*CO51</f>
        <v>0</v>
      </c>
      <c r="CR51" s="61">
        <f>CP51+CQ51</f>
        <v>0</v>
      </c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</row>
    <row r="52" spans="2:111" ht="15" customHeight="1" x14ac:dyDescent="0.2">
      <c r="B52" s="93" t="s">
        <v>132</v>
      </c>
      <c r="C52" s="94">
        <v>10</v>
      </c>
      <c r="D52" s="73">
        <f t="shared" si="17"/>
        <v>270970.55335848976</v>
      </c>
      <c r="E52" s="95">
        <f>E13+E18</f>
        <v>270970.55335848976</v>
      </c>
      <c r="F52" s="96">
        <f>F13+F18</f>
        <v>0</v>
      </c>
      <c r="L52" s="40"/>
      <c r="M52" s="57"/>
      <c r="N52" s="42"/>
      <c r="O52" s="42"/>
      <c r="P52" s="35">
        <v>0.18</v>
      </c>
      <c r="Q52" s="35"/>
      <c r="R52" s="53">
        <f t="shared" si="32"/>
        <v>0</v>
      </c>
      <c r="S52" s="53">
        <f t="shared" si="33"/>
        <v>0</v>
      </c>
      <c r="T52" s="44">
        <f t="shared" si="34"/>
        <v>0</v>
      </c>
      <c r="U52" s="5"/>
      <c r="W52" s="56"/>
      <c r="X52" s="57"/>
      <c r="Y52" s="35"/>
      <c r="Z52" s="35"/>
      <c r="AA52" s="35"/>
      <c r="AB52" s="35"/>
      <c r="AC52" s="60">
        <f t="shared" si="26"/>
        <v>0</v>
      </c>
      <c r="AD52" s="60">
        <f t="shared" si="26"/>
        <v>0</v>
      </c>
      <c r="AE52" s="78"/>
      <c r="AF52" s="60">
        <f t="shared" si="27"/>
        <v>0</v>
      </c>
      <c r="AG52" s="60">
        <f t="shared" si="28"/>
        <v>0</v>
      </c>
      <c r="AH52" s="134">
        <f>AF52*AB88/AE88</f>
        <v>0</v>
      </c>
      <c r="AI52" s="61">
        <f>AG52*AB88/AE88</f>
        <v>0</v>
      </c>
      <c r="AJ52" s="5"/>
      <c r="AK52" s="5"/>
      <c r="AL52" s="56"/>
      <c r="AM52" s="57"/>
      <c r="AN52" s="35"/>
      <c r="AO52" s="35"/>
      <c r="AP52" s="35"/>
      <c r="AQ52" s="35"/>
      <c r="AR52" s="60">
        <f t="shared" si="29"/>
        <v>0</v>
      </c>
      <c r="AS52" s="60">
        <f t="shared" si="29"/>
        <v>0</v>
      </c>
      <c r="AT52" s="78"/>
      <c r="AU52" s="60">
        <f t="shared" si="30"/>
        <v>0</v>
      </c>
      <c r="AV52" s="60">
        <f t="shared" si="31"/>
        <v>0</v>
      </c>
      <c r="AW52" s="134">
        <f>AU52*AB88/AE88</f>
        <v>0</v>
      </c>
      <c r="AX52" s="61">
        <f>AV52*AB88/AE88</f>
        <v>0</v>
      </c>
      <c r="AY52" s="5"/>
      <c r="AZ52" s="5"/>
      <c r="BA52" s="40"/>
      <c r="BB52" s="41"/>
      <c r="BC52" s="42"/>
      <c r="BD52" s="35"/>
      <c r="BE52" s="43">
        <f t="shared" si="24"/>
        <v>0</v>
      </c>
      <c r="BF52" s="35"/>
      <c r="BG52" s="44">
        <f t="shared" si="25"/>
        <v>0</v>
      </c>
      <c r="BU52" s="40"/>
      <c r="BV52" s="49"/>
      <c r="BW52" s="42"/>
      <c r="BX52" s="42"/>
      <c r="BY52" s="35"/>
      <c r="BZ52" s="35">
        <v>0.18</v>
      </c>
      <c r="CA52" s="60">
        <f>BW52*BX52*BY52</f>
        <v>0</v>
      </c>
      <c r="CB52" s="60">
        <f>BW52*BX52*BZ52</f>
        <v>0</v>
      </c>
      <c r="CC52" s="61">
        <f>CA52+CB52</f>
        <v>0</v>
      </c>
      <c r="CD52" s="5"/>
      <c r="CE52" s="5"/>
      <c r="CF52" s="5"/>
      <c r="CG52" s="5"/>
      <c r="CH52" s="5"/>
      <c r="CJ52" s="40"/>
      <c r="CK52" s="49"/>
      <c r="CL52" s="42"/>
      <c r="CM52" s="42"/>
      <c r="CN52" s="35"/>
      <c r="CO52" s="35"/>
      <c r="CP52" s="60">
        <f>CL52*CM52*CN52</f>
        <v>0</v>
      </c>
      <c r="CQ52" s="60">
        <f>CL52*CM52*CO52</f>
        <v>0</v>
      </c>
      <c r="CR52" s="61">
        <f>CP52+CQ52</f>
        <v>0</v>
      </c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</row>
    <row r="53" spans="2:111" ht="15" customHeight="1" thickBot="1" x14ac:dyDescent="0.25">
      <c r="B53" s="136" t="s">
        <v>133</v>
      </c>
      <c r="C53" s="137">
        <v>11</v>
      </c>
      <c r="D53" s="138">
        <f t="shared" si="17"/>
        <v>123.16843334476808</v>
      </c>
      <c r="E53" s="139">
        <f>IF(D10=0,0,E52/D10)</f>
        <v>123.16843334476808</v>
      </c>
      <c r="F53" s="140">
        <f>IF(D10=0,0,F52/D10)</f>
        <v>0</v>
      </c>
      <c r="L53" s="40"/>
      <c r="M53" s="57" t="s">
        <v>128</v>
      </c>
      <c r="N53" s="42">
        <v>1</v>
      </c>
      <c r="O53" s="42">
        <v>8</v>
      </c>
      <c r="P53" s="35">
        <v>0.18</v>
      </c>
      <c r="Q53" s="35"/>
      <c r="R53" s="53">
        <f t="shared" si="32"/>
        <v>1.44</v>
      </c>
      <c r="S53" s="53">
        <f t="shared" si="33"/>
        <v>0</v>
      </c>
      <c r="T53" s="44">
        <f t="shared" si="34"/>
        <v>1.44</v>
      </c>
      <c r="U53" s="5"/>
      <c r="W53" s="56"/>
      <c r="X53" s="57"/>
      <c r="Y53" s="35"/>
      <c r="Z53" s="35"/>
      <c r="AA53" s="35"/>
      <c r="AB53" s="35"/>
      <c r="AC53" s="60">
        <f t="shared" si="26"/>
        <v>0</v>
      </c>
      <c r="AD53" s="60">
        <f t="shared" si="26"/>
        <v>0</v>
      </c>
      <c r="AE53" s="78"/>
      <c r="AF53" s="60">
        <f t="shared" si="27"/>
        <v>0</v>
      </c>
      <c r="AG53" s="60">
        <f t="shared" si="28"/>
        <v>0</v>
      </c>
      <c r="AH53" s="134">
        <f>AF53*AB88/AE88</f>
        <v>0</v>
      </c>
      <c r="AI53" s="61">
        <f>AG53*AB88/AE88</f>
        <v>0</v>
      </c>
      <c r="AJ53" s="5"/>
      <c r="AK53" s="5"/>
      <c r="AL53" s="56"/>
      <c r="AM53" s="57"/>
      <c r="AN53" s="35"/>
      <c r="AO53" s="35"/>
      <c r="AP53" s="35"/>
      <c r="AQ53" s="35"/>
      <c r="AR53" s="60">
        <f t="shared" si="29"/>
        <v>0</v>
      </c>
      <c r="AS53" s="60">
        <f t="shared" si="29"/>
        <v>0</v>
      </c>
      <c r="AT53" s="78"/>
      <c r="AU53" s="60">
        <f t="shared" si="30"/>
        <v>0</v>
      </c>
      <c r="AV53" s="60">
        <f t="shared" si="31"/>
        <v>0</v>
      </c>
      <c r="AW53" s="134">
        <f>AU53*AB88/AE88</f>
        <v>0</v>
      </c>
      <c r="AX53" s="61">
        <f>AV53*AB88/AE88</f>
        <v>0</v>
      </c>
      <c r="AY53" s="5"/>
      <c r="AZ53" s="5"/>
      <c r="BA53" s="40"/>
      <c r="BB53" s="41"/>
      <c r="BC53" s="42"/>
      <c r="BD53" s="35"/>
      <c r="BE53" s="43">
        <f t="shared" si="24"/>
        <v>0</v>
      </c>
      <c r="BF53" s="35"/>
      <c r="BG53" s="44">
        <f t="shared" si="25"/>
        <v>0</v>
      </c>
      <c r="BU53" s="40"/>
      <c r="BV53" s="49"/>
      <c r="BW53" s="42"/>
      <c r="BX53" s="42"/>
      <c r="BY53" s="35"/>
      <c r="BZ53" s="35"/>
      <c r="CA53" s="60">
        <f>BW53*BX53*BY53</f>
        <v>0</v>
      </c>
      <c r="CB53" s="60">
        <f>BW53*BX53*BZ53</f>
        <v>0</v>
      </c>
      <c r="CC53" s="61">
        <f>CA53+CB53</f>
        <v>0</v>
      </c>
      <c r="CD53" s="5"/>
      <c r="CE53" s="5"/>
      <c r="CF53" s="5"/>
      <c r="CG53" s="5"/>
      <c r="CH53" s="5"/>
      <c r="CJ53" s="40"/>
      <c r="CK53" s="49"/>
      <c r="CL53" s="42"/>
      <c r="CM53" s="42"/>
      <c r="CN53" s="35"/>
      <c r="CO53" s="35"/>
      <c r="CP53" s="60">
        <f>CL53*CM53*CN53</f>
        <v>0</v>
      </c>
      <c r="CQ53" s="60">
        <f>CL53*CM53*CO53</f>
        <v>0</v>
      </c>
      <c r="CR53" s="61">
        <f>CP53+CQ53</f>
        <v>0</v>
      </c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</row>
    <row r="54" spans="2:111" ht="15" customHeight="1" thickTop="1" thickBot="1" x14ac:dyDescent="0.3">
      <c r="B54" s="141" t="s">
        <v>134</v>
      </c>
      <c r="C54" s="142" t="s">
        <v>120</v>
      </c>
      <c r="D54" s="143">
        <v>0.3</v>
      </c>
      <c r="E54" s="144"/>
      <c r="F54" s="145"/>
      <c r="L54" s="40"/>
      <c r="M54" s="49"/>
      <c r="N54" s="42"/>
      <c r="O54" s="42"/>
      <c r="P54" s="35"/>
      <c r="Q54" s="35"/>
      <c r="R54" s="53">
        <f t="shared" si="32"/>
        <v>0</v>
      </c>
      <c r="S54" s="53">
        <f t="shared" si="33"/>
        <v>0</v>
      </c>
      <c r="T54" s="44">
        <f t="shared" si="34"/>
        <v>0</v>
      </c>
      <c r="U54" s="5"/>
      <c r="W54" s="56"/>
      <c r="X54" s="57"/>
      <c r="Y54" s="35"/>
      <c r="Z54" s="35"/>
      <c r="AA54" s="35"/>
      <c r="AB54" s="35"/>
      <c r="AC54" s="60">
        <f t="shared" si="26"/>
        <v>0</v>
      </c>
      <c r="AD54" s="60">
        <f t="shared" si="26"/>
        <v>0</v>
      </c>
      <c r="AE54" s="78"/>
      <c r="AF54" s="60">
        <f t="shared" si="27"/>
        <v>0</v>
      </c>
      <c r="AG54" s="60">
        <f t="shared" si="28"/>
        <v>0</v>
      </c>
      <c r="AH54" s="134">
        <f>AF54*AB88/AE88</f>
        <v>0</v>
      </c>
      <c r="AI54" s="61">
        <f>AG54*AB88/AE88</f>
        <v>0</v>
      </c>
      <c r="AJ54" s="5"/>
      <c r="AK54" s="5"/>
      <c r="AL54" s="56"/>
      <c r="AM54" s="57"/>
      <c r="AN54" s="35"/>
      <c r="AO54" s="35"/>
      <c r="AP54" s="35"/>
      <c r="AQ54" s="35"/>
      <c r="AR54" s="60">
        <f t="shared" si="29"/>
        <v>0</v>
      </c>
      <c r="AS54" s="60">
        <f t="shared" si="29"/>
        <v>0</v>
      </c>
      <c r="AT54" s="78"/>
      <c r="AU54" s="60">
        <f t="shared" si="30"/>
        <v>0</v>
      </c>
      <c r="AV54" s="60">
        <f t="shared" si="31"/>
        <v>0</v>
      </c>
      <c r="AW54" s="134">
        <f>AU54*AB88/AE88</f>
        <v>0</v>
      </c>
      <c r="AX54" s="61">
        <f>AV54*AB88/AE88</f>
        <v>0</v>
      </c>
      <c r="AY54" s="5"/>
      <c r="AZ54" s="5"/>
      <c r="BA54" s="40"/>
      <c r="BB54" s="41"/>
      <c r="BC54" s="42"/>
      <c r="BD54" s="35"/>
      <c r="BE54" s="43">
        <f t="shared" si="24"/>
        <v>0</v>
      </c>
      <c r="BF54" s="35"/>
      <c r="BG54" s="44">
        <f t="shared" si="25"/>
        <v>0</v>
      </c>
      <c r="BU54" s="40"/>
      <c r="BV54" s="49"/>
      <c r="BW54" s="42"/>
      <c r="BX54" s="42"/>
      <c r="BY54" s="35"/>
      <c r="BZ54" s="35"/>
      <c r="CA54" s="60">
        <f>BW54*BX54*BY54</f>
        <v>0</v>
      </c>
      <c r="CB54" s="60">
        <f>BW54*BX54*BZ54</f>
        <v>0</v>
      </c>
      <c r="CC54" s="61">
        <f>CA54+CB54</f>
        <v>0</v>
      </c>
      <c r="CD54" s="5"/>
      <c r="CE54" s="5"/>
      <c r="CF54" s="5"/>
      <c r="CG54" s="5"/>
      <c r="CH54" s="5"/>
      <c r="CJ54" s="40"/>
      <c r="CK54" s="65"/>
      <c r="CL54" s="42"/>
      <c r="CM54" s="42"/>
      <c r="CN54" s="35"/>
      <c r="CO54" s="35"/>
      <c r="CP54" s="60">
        <f>CL54*CM54*CN54</f>
        <v>0</v>
      </c>
      <c r="CQ54" s="60">
        <f>CL54*CM54*CO54</f>
        <v>0</v>
      </c>
      <c r="CR54" s="61">
        <f>CP54+CQ54</f>
        <v>0</v>
      </c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</row>
    <row r="55" spans="2:111" customFormat="1" ht="17.25" thickTop="1" thickBot="1" x14ac:dyDescent="0.3">
      <c r="B55" s="146" t="s">
        <v>143</v>
      </c>
      <c r="C55" s="147" t="s">
        <v>120</v>
      </c>
      <c r="D55" s="148">
        <v>0.11</v>
      </c>
      <c r="E55" s="149"/>
      <c r="F55" s="150"/>
      <c r="L55" s="40"/>
      <c r="M55" s="49"/>
      <c r="N55" s="42"/>
      <c r="O55" s="42"/>
      <c r="P55" s="35"/>
      <c r="Q55" s="35"/>
      <c r="R55" s="53"/>
      <c r="S55" s="53"/>
      <c r="T55" s="44"/>
      <c r="U55" s="5"/>
      <c r="W55" s="56"/>
      <c r="X55" s="57"/>
      <c r="Y55" s="35"/>
      <c r="Z55" s="35"/>
      <c r="AA55" s="35"/>
      <c r="AB55" s="35"/>
      <c r="AC55" s="60"/>
      <c r="AD55" s="60"/>
      <c r="AE55" s="78"/>
      <c r="AF55" s="60"/>
      <c r="AG55" s="60"/>
      <c r="AH55" s="134"/>
      <c r="AI55" s="61"/>
      <c r="AJ55" s="5"/>
      <c r="AK55" s="5"/>
      <c r="AL55" s="56"/>
      <c r="AM55" s="57"/>
      <c r="AN55" s="35"/>
      <c r="AO55" s="35"/>
      <c r="AP55" s="35"/>
      <c r="AQ55" s="35"/>
      <c r="AR55" s="60"/>
      <c r="AS55" s="60"/>
      <c r="AT55" s="78"/>
      <c r="AU55" s="60"/>
      <c r="AV55" s="60"/>
      <c r="AW55" s="134"/>
      <c r="AX55" s="61"/>
      <c r="AY55" s="5"/>
      <c r="AZ55" s="5"/>
      <c r="BA55" s="40"/>
      <c r="BB55" s="41"/>
      <c r="BC55" s="42"/>
      <c r="BD55" s="35"/>
      <c r="BE55" s="43"/>
      <c r="BF55" s="35"/>
      <c r="BG55" s="44"/>
      <c r="BU55" s="40"/>
      <c r="BV55" s="49"/>
      <c r="BW55" s="42"/>
      <c r="BX55" s="42"/>
      <c r="BY55" s="35"/>
      <c r="BZ55" s="35"/>
      <c r="CA55" s="60"/>
      <c r="CB55" s="60"/>
      <c r="CC55" s="61"/>
      <c r="CD55" s="5"/>
      <c r="CE55" s="5"/>
      <c r="CF55" s="5"/>
      <c r="CG55" s="5"/>
      <c r="CH55" s="5"/>
      <c r="CJ55" s="40"/>
      <c r="CK55" s="65"/>
      <c r="CL55" s="42"/>
      <c r="CM55" s="42"/>
      <c r="CN55" s="35"/>
      <c r="CO55" s="35"/>
      <c r="CP55" s="60"/>
      <c r="CQ55" s="60"/>
      <c r="CR55" s="61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</row>
    <row r="56" spans="2:111" customFormat="1" ht="17.25" thickTop="1" thickBot="1" x14ac:dyDescent="0.3">
      <c r="B56" s="146" t="s">
        <v>144</v>
      </c>
      <c r="C56" s="147">
        <v>12</v>
      </c>
      <c r="D56" s="151">
        <f>D53*(1+D54)</f>
        <v>160.11896334819849</v>
      </c>
      <c r="E56" s="152">
        <f>IF(E54=0,0,E53+(E53*E54%))</f>
        <v>0</v>
      </c>
      <c r="F56" s="153">
        <f>IF(F54=0,0,F53+(F53*F54%))</f>
        <v>0</v>
      </c>
      <c r="L56" s="40"/>
      <c r="M56" s="49"/>
      <c r="N56" s="42"/>
      <c r="O56" s="42"/>
      <c r="P56" s="35"/>
      <c r="Q56" s="35"/>
      <c r="R56" s="53"/>
      <c r="S56" s="53"/>
      <c r="T56" s="44"/>
      <c r="U56" s="5"/>
      <c r="W56" s="56"/>
      <c r="X56" s="57"/>
      <c r="Y56" s="35"/>
      <c r="Z56" s="35"/>
      <c r="AA56" s="35"/>
      <c r="AB56" s="35"/>
      <c r="AC56" s="60"/>
      <c r="AD56" s="60"/>
      <c r="AE56" s="78"/>
      <c r="AF56" s="60"/>
      <c r="AG56" s="60"/>
      <c r="AH56" s="134"/>
      <c r="AI56" s="61"/>
      <c r="AJ56" s="5"/>
      <c r="AK56" s="5"/>
      <c r="AL56" s="56"/>
      <c r="AM56" s="57"/>
      <c r="AN56" s="35"/>
      <c r="AO56" s="35"/>
      <c r="AP56" s="35"/>
      <c r="AQ56" s="35"/>
      <c r="AR56" s="60"/>
      <c r="AS56" s="60"/>
      <c r="AT56" s="78"/>
      <c r="AU56" s="60"/>
      <c r="AV56" s="60"/>
      <c r="AW56" s="134"/>
      <c r="AX56" s="61"/>
      <c r="AY56" s="5"/>
      <c r="AZ56" s="5"/>
      <c r="BA56" s="40"/>
      <c r="BB56" s="41"/>
      <c r="BC56" s="42"/>
      <c r="BD56" s="35"/>
      <c r="BE56" s="43"/>
      <c r="BF56" s="35"/>
      <c r="BG56" s="44"/>
      <c r="BU56" s="40"/>
      <c r="BV56" s="49"/>
      <c r="BW56" s="42"/>
      <c r="BX56" s="42"/>
      <c r="BY56" s="35"/>
      <c r="BZ56" s="35"/>
      <c r="CA56" s="60"/>
      <c r="CB56" s="60"/>
      <c r="CC56" s="61"/>
      <c r="CD56" s="5"/>
      <c r="CE56" s="5"/>
      <c r="CF56" s="5"/>
      <c r="CG56" s="5"/>
      <c r="CH56" s="5"/>
      <c r="CJ56" s="40"/>
      <c r="CK56" s="65"/>
      <c r="CL56" s="42"/>
      <c r="CM56" s="42"/>
      <c r="CN56" s="35"/>
      <c r="CO56" s="35"/>
      <c r="CP56" s="60"/>
      <c r="CQ56" s="60"/>
      <c r="CR56" s="61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</row>
    <row r="57" spans="2:111" ht="17.25" thickTop="1" thickBot="1" x14ac:dyDescent="0.3">
      <c r="B57" s="154" t="s">
        <v>135</v>
      </c>
      <c r="C57" s="155">
        <v>13</v>
      </c>
      <c r="D57" s="156">
        <f>D56/(1-D55)</f>
        <v>179.9089475822455</v>
      </c>
      <c r="E57" s="157">
        <f>IF(E54=0,0,E53+(E53*E54%))</f>
        <v>0</v>
      </c>
      <c r="F57" s="157">
        <f>IF(F54=0,0,F53+(F53*F54%))</f>
        <v>0</v>
      </c>
      <c r="L57" s="40"/>
      <c r="M57" s="49"/>
      <c r="N57" s="42"/>
      <c r="O57" s="42"/>
      <c r="P57" s="35"/>
      <c r="Q57" s="35"/>
      <c r="R57" s="53">
        <f t="shared" ref="R57:R76" si="35">N57*O57*P57</f>
        <v>0</v>
      </c>
      <c r="S57" s="53">
        <f t="shared" ref="S57:S76" si="36">N57*O57*Q57</f>
        <v>0</v>
      </c>
      <c r="T57" s="44">
        <f t="shared" ref="T57:T76" si="37">R57+S57</f>
        <v>0</v>
      </c>
      <c r="U57" s="5"/>
      <c r="W57" s="56"/>
      <c r="X57" s="57"/>
      <c r="Y57" s="35"/>
      <c r="Z57" s="35"/>
      <c r="AA57" s="35"/>
      <c r="AB57" s="35"/>
      <c r="AC57" s="60">
        <f t="shared" ref="AC57:AD79" si="38">Y57-AA57</f>
        <v>0</v>
      </c>
      <c r="AD57" s="60">
        <f t="shared" si="38"/>
        <v>0</v>
      </c>
      <c r="AE57" s="78"/>
      <c r="AF57" s="60">
        <f t="shared" ref="AF57:AF79" si="39">AC57*AE57%</f>
        <v>0</v>
      </c>
      <c r="AG57" s="60">
        <f t="shared" ref="AG57:AG79" si="40">AD57*AE57%</f>
        <v>0</v>
      </c>
      <c r="AH57" s="134">
        <f>AF57*AB88/AE88</f>
        <v>0</v>
      </c>
      <c r="AI57" s="61">
        <f>AG57*AB88/AE88</f>
        <v>0</v>
      </c>
      <c r="AJ57" s="5"/>
      <c r="AK57" s="5"/>
      <c r="AL57" s="56"/>
      <c r="AM57" s="57"/>
      <c r="AN57" s="35"/>
      <c r="AO57" s="35"/>
      <c r="AP57" s="35"/>
      <c r="AQ57" s="35"/>
      <c r="AR57" s="60">
        <f t="shared" ref="AR57:AS79" si="41">AN57-AP57</f>
        <v>0</v>
      </c>
      <c r="AS57" s="60">
        <f t="shared" si="41"/>
        <v>0</v>
      </c>
      <c r="AT57" s="78"/>
      <c r="AU57" s="60">
        <f t="shared" ref="AU57:AU79" si="42">AR57*AT57%</f>
        <v>0</v>
      </c>
      <c r="AV57" s="60">
        <f t="shared" ref="AV57:AV79" si="43">AS57*AT57%</f>
        <v>0</v>
      </c>
      <c r="AW57" s="134">
        <f>AU57*AB88/AE88</f>
        <v>0</v>
      </c>
      <c r="AX57" s="61">
        <f>AV57*AB88/AE88</f>
        <v>0</v>
      </c>
      <c r="AY57" s="5"/>
      <c r="AZ57" s="5"/>
      <c r="BA57" s="40"/>
      <c r="BB57" s="41"/>
      <c r="BC57" s="42"/>
      <c r="BD57" s="35"/>
      <c r="BE57" s="43">
        <f t="shared" ref="BE57:BE81" si="44">BD57/190.6</f>
        <v>0</v>
      </c>
      <c r="BF57" s="35"/>
      <c r="BG57" s="44">
        <f t="shared" ref="BG57:BG81" si="45">BE57*BF57*BB57</f>
        <v>0</v>
      </c>
      <c r="BU57" s="40"/>
      <c r="BV57" s="65"/>
      <c r="BW57" s="42"/>
      <c r="BX57" s="42"/>
      <c r="BY57" s="35"/>
      <c r="BZ57" s="35"/>
      <c r="CA57" s="60">
        <f>BW57*BX57*BY57</f>
        <v>0</v>
      </c>
      <c r="CB57" s="60">
        <f>BW57*BX57*BZ57</f>
        <v>0</v>
      </c>
      <c r="CC57" s="61">
        <f>CA57+CB57</f>
        <v>0</v>
      </c>
      <c r="CD57" s="5"/>
      <c r="CE57" s="5"/>
      <c r="CF57" s="5"/>
      <c r="CG57" s="5"/>
      <c r="CH57" s="5"/>
      <c r="CJ57" s="40"/>
      <c r="CK57" s="49"/>
      <c r="CL57" s="42"/>
      <c r="CM57" s="42"/>
      <c r="CN57" s="35"/>
      <c r="CO57" s="35"/>
      <c r="CP57" s="60">
        <f>CL57*CM57*CN57</f>
        <v>0</v>
      </c>
      <c r="CQ57" s="60">
        <f>CL57*CM57*CO57</f>
        <v>0</v>
      </c>
      <c r="CR57" s="61">
        <f>CP57+CQ57</f>
        <v>0</v>
      </c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</row>
    <row r="58" spans="2:111" ht="15" customHeight="1" thickBot="1" x14ac:dyDescent="0.25">
      <c r="B58" s="183" t="s">
        <v>136</v>
      </c>
      <c r="C58" s="183"/>
      <c r="D58" s="183"/>
      <c r="E58" s="185" t="s">
        <v>137</v>
      </c>
      <c r="F58" s="187" t="s">
        <v>138</v>
      </c>
      <c r="L58" s="40"/>
      <c r="M58" s="49"/>
      <c r="N58" s="42"/>
      <c r="O58" s="42"/>
      <c r="P58" s="35"/>
      <c r="Q58" s="35"/>
      <c r="R58" s="53">
        <f t="shared" si="35"/>
        <v>0</v>
      </c>
      <c r="S58" s="53">
        <f t="shared" si="36"/>
        <v>0</v>
      </c>
      <c r="T58" s="44">
        <f t="shared" si="37"/>
        <v>0</v>
      </c>
      <c r="U58" s="5"/>
      <c r="W58" s="56"/>
      <c r="X58" s="57"/>
      <c r="Y58" s="35"/>
      <c r="Z58" s="35"/>
      <c r="AA58" s="35"/>
      <c r="AB58" s="35"/>
      <c r="AC58" s="60">
        <f t="shared" si="38"/>
        <v>0</v>
      </c>
      <c r="AD58" s="60">
        <f t="shared" si="38"/>
        <v>0</v>
      </c>
      <c r="AE58" s="78"/>
      <c r="AF58" s="60">
        <f t="shared" si="39"/>
        <v>0</v>
      </c>
      <c r="AG58" s="60">
        <f t="shared" si="40"/>
        <v>0</v>
      </c>
      <c r="AH58" s="134">
        <f>AF58*AB88/AE88</f>
        <v>0</v>
      </c>
      <c r="AI58" s="61">
        <f>AG58*AB88/AE88</f>
        <v>0</v>
      </c>
      <c r="AJ58" s="5"/>
      <c r="AK58" s="5"/>
      <c r="AL58" s="56"/>
      <c r="AM58" s="57"/>
      <c r="AN58" s="35"/>
      <c r="AO58" s="35"/>
      <c r="AP58" s="35"/>
      <c r="AQ58" s="35"/>
      <c r="AR58" s="60">
        <f t="shared" si="41"/>
        <v>0</v>
      </c>
      <c r="AS58" s="60">
        <f t="shared" si="41"/>
        <v>0</v>
      </c>
      <c r="AT58" s="78"/>
      <c r="AU58" s="60">
        <f t="shared" si="42"/>
        <v>0</v>
      </c>
      <c r="AV58" s="60">
        <f t="shared" si="43"/>
        <v>0</v>
      </c>
      <c r="AW58" s="134">
        <f>AU58*AB88/AE88</f>
        <v>0</v>
      </c>
      <c r="AX58" s="61">
        <f>AV58*AB88/AE88</f>
        <v>0</v>
      </c>
      <c r="AY58" s="5"/>
      <c r="AZ58" s="5"/>
      <c r="BA58" s="40"/>
      <c r="BB58" s="41"/>
      <c r="BC58" s="42"/>
      <c r="BD58" s="35"/>
      <c r="BE58" s="43">
        <f t="shared" si="44"/>
        <v>0</v>
      </c>
      <c r="BF58" s="35"/>
      <c r="BG58" s="44">
        <f t="shared" si="45"/>
        <v>0</v>
      </c>
      <c r="BU58" s="40"/>
      <c r="BV58" s="49"/>
      <c r="BW58" s="42"/>
      <c r="BX58" s="42"/>
      <c r="BY58" s="35"/>
      <c r="BZ58" s="35"/>
      <c r="CA58" s="60">
        <f>BW58*BX58*BY58</f>
        <v>0</v>
      </c>
      <c r="CB58" s="60">
        <f>BW58*BX58*BZ58</f>
        <v>0</v>
      </c>
      <c r="CC58" s="61">
        <f>CA58+CB58</f>
        <v>0</v>
      </c>
      <c r="CD58" s="5"/>
      <c r="CE58" s="5"/>
      <c r="CF58" s="5"/>
      <c r="CG58" s="5"/>
      <c r="CH58" s="5"/>
      <c r="CJ58" s="40"/>
      <c r="CK58" s="49"/>
      <c r="CL58" s="42"/>
      <c r="CM58" s="42"/>
      <c r="CN58" s="35"/>
      <c r="CO58" s="35"/>
      <c r="CP58" s="60">
        <f>CL58*CM58*CN58</f>
        <v>0</v>
      </c>
      <c r="CQ58" s="60">
        <f>CL58*CM58*CO58</f>
        <v>0</v>
      </c>
      <c r="CR58" s="61">
        <f>CP58+CQ58</f>
        <v>0</v>
      </c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</row>
    <row r="59" spans="2:111" ht="24" customHeight="1" thickBot="1" x14ac:dyDescent="0.25">
      <c r="B59" s="184"/>
      <c r="C59" s="184"/>
      <c r="D59" s="184"/>
      <c r="E59" s="186"/>
      <c r="F59" s="188"/>
      <c r="L59" s="40"/>
      <c r="M59" s="49"/>
      <c r="N59" s="42"/>
      <c r="O59" s="42"/>
      <c r="P59" s="35"/>
      <c r="Q59" s="35"/>
      <c r="R59" s="53">
        <f t="shared" si="35"/>
        <v>0</v>
      </c>
      <c r="S59" s="53">
        <f t="shared" si="36"/>
        <v>0</v>
      </c>
      <c r="T59" s="44">
        <f t="shared" si="37"/>
        <v>0</v>
      </c>
      <c r="U59" s="5"/>
      <c r="W59" s="56"/>
      <c r="X59" s="57"/>
      <c r="Y59" s="35"/>
      <c r="Z59" s="35"/>
      <c r="AA59" s="35"/>
      <c r="AB59" s="35"/>
      <c r="AC59" s="60">
        <f t="shared" si="38"/>
        <v>0</v>
      </c>
      <c r="AD59" s="60">
        <f t="shared" si="38"/>
        <v>0</v>
      </c>
      <c r="AE59" s="78"/>
      <c r="AF59" s="60">
        <f t="shared" si="39"/>
        <v>0</v>
      </c>
      <c r="AG59" s="60">
        <f t="shared" si="40"/>
        <v>0</v>
      </c>
      <c r="AH59" s="134">
        <f>AF59*AB88/AE88</f>
        <v>0</v>
      </c>
      <c r="AI59" s="61">
        <f>AG59*AB88/AE88</f>
        <v>0</v>
      </c>
      <c r="AJ59" s="5"/>
      <c r="AK59" s="5"/>
      <c r="AL59" s="56"/>
      <c r="AM59" s="57"/>
      <c r="AN59" s="35"/>
      <c r="AO59" s="35"/>
      <c r="AP59" s="35"/>
      <c r="AQ59" s="35"/>
      <c r="AR59" s="60">
        <f t="shared" si="41"/>
        <v>0</v>
      </c>
      <c r="AS59" s="60">
        <f t="shared" si="41"/>
        <v>0</v>
      </c>
      <c r="AT59" s="78"/>
      <c r="AU59" s="60">
        <f t="shared" si="42"/>
        <v>0</v>
      </c>
      <c r="AV59" s="60">
        <f t="shared" si="43"/>
        <v>0</v>
      </c>
      <c r="AW59" s="134">
        <f>AU59*AB88/AE88</f>
        <v>0</v>
      </c>
      <c r="AX59" s="61">
        <f>AV59*AB88/AE88</f>
        <v>0</v>
      </c>
      <c r="AY59" s="5"/>
      <c r="AZ59" s="5"/>
      <c r="BA59" s="40"/>
      <c r="BB59" s="41"/>
      <c r="BC59" s="42"/>
      <c r="BD59" s="35"/>
      <c r="BE59" s="43">
        <f t="shared" si="44"/>
        <v>0</v>
      </c>
      <c r="BF59" s="35"/>
      <c r="BG59" s="44">
        <f t="shared" si="45"/>
        <v>0</v>
      </c>
      <c r="BU59" s="40"/>
      <c r="BV59" s="49"/>
      <c r="BW59" s="42"/>
      <c r="BX59" s="42"/>
      <c r="BY59" s="35"/>
      <c r="BZ59" s="35"/>
      <c r="CA59" s="60">
        <f>BW59*BX59*BY59</f>
        <v>0</v>
      </c>
      <c r="CB59" s="60">
        <f>BW59*BX59*BZ59</f>
        <v>0</v>
      </c>
      <c r="CC59" s="61">
        <f>CA59+CB59</f>
        <v>0</v>
      </c>
      <c r="CD59" s="5"/>
      <c r="CE59" s="5"/>
      <c r="CF59" s="5"/>
      <c r="CG59" s="5"/>
      <c r="CH59" s="5"/>
      <c r="CJ59" s="40"/>
      <c r="CK59" s="49"/>
      <c r="CL59" s="42"/>
      <c r="CM59" s="42"/>
      <c r="CN59" s="35"/>
      <c r="CO59" s="35"/>
      <c r="CP59" s="60">
        <f>CL59*CM59*CN59</f>
        <v>0</v>
      </c>
      <c r="CQ59" s="60">
        <f>CL59*CM59*CO59</f>
        <v>0</v>
      </c>
      <c r="CR59" s="61">
        <f>CP59+CQ59</f>
        <v>0</v>
      </c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</row>
    <row r="60" spans="2:111" ht="15" customHeight="1" thickTop="1" thickBot="1" x14ac:dyDescent="0.25">
      <c r="B60" s="189" t="s">
        <v>139</v>
      </c>
      <c r="C60" s="190"/>
      <c r="D60" s="190"/>
      <c r="E60" s="193" t="s">
        <v>137</v>
      </c>
      <c r="F60" s="195" t="s">
        <v>138</v>
      </c>
      <c r="L60" s="40"/>
      <c r="M60" s="49"/>
      <c r="N60" s="42"/>
      <c r="O60" s="42"/>
      <c r="P60" s="35"/>
      <c r="Q60" s="35"/>
      <c r="R60" s="53">
        <f t="shared" si="35"/>
        <v>0</v>
      </c>
      <c r="S60" s="53">
        <f t="shared" si="36"/>
        <v>0</v>
      </c>
      <c r="T60" s="44">
        <f t="shared" si="37"/>
        <v>0</v>
      </c>
      <c r="U60" s="5"/>
      <c r="W60" s="56"/>
      <c r="X60" s="57"/>
      <c r="Y60" s="35"/>
      <c r="Z60" s="35"/>
      <c r="AA60" s="35"/>
      <c r="AB60" s="35"/>
      <c r="AC60" s="60">
        <f t="shared" si="38"/>
        <v>0</v>
      </c>
      <c r="AD60" s="60">
        <f t="shared" si="38"/>
        <v>0</v>
      </c>
      <c r="AE60" s="78"/>
      <c r="AF60" s="60">
        <f t="shared" si="39"/>
        <v>0</v>
      </c>
      <c r="AG60" s="60">
        <f t="shared" si="40"/>
        <v>0</v>
      </c>
      <c r="AH60" s="134">
        <f>AF60*AB88/AE88</f>
        <v>0</v>
      </c>
      <c r="AI60" s="61">
        <f>AG60*AB88/AE88</f>
        <v>0</v>
      </c>
      <c r="AJ60" s="5"/>
      <c r="AK60" s="5"/>
      <c r="AL60" s="56"/>
      <c r="AM60" s="57"/>
      <c r="AN60" s="35"/>
      <c r="AO60" s="35"/>
      <c r="AP60" s="35"/>
      <c r="AQ60" s="35"/>
      <c r="AR60" s="60">
        <f t="shared" si="41"/>
        <v>0</v>
      </c>
      <c r="AS60" s="60">
        <f t="shared" si="41"/>
        <v>0</v>
      </c>
      <c r="AT60" s="78"/>
      <c r="AU60" s="60">
        <f t="shared" si="42"/>
        <v>0</v>
      </c>
      <c r="AV60" s="60">
        <f t="shared" si="43"/>
        <v>0</v>
      </c>
      <c r="AW60" s="134">
        <f>AU60*AB88/AE88</f>
        <v>0</v>
      </c>
      <c r="AX60" s="61">
        <f>AV60*AB88/AE88</f>
        <v>0</v>
      </c>
      <c r="AY60" s="5"/>
      <c r="AZ60" s="5"/>
      <c r="BA60" s="40"/>
      <c r="BB60" s="41"/>
      <c r="BC60" s="42"/>
      <c r="BD60" s="35"/>
      <c r="BE60" s="43">
        <f t="shared" si="44"/>
        <v>0</v>
      </c>
      <c r="BF60" s="35"/>
      <c r="BG60" s="44">
        <f t="shared" si="45"/>
        <v>0</v>
      </c>
      <c r="BU60" s="40"/>
      <c r="BV60" s="49"/>
      <c r="BW60" s="42"/>
      <c r="BX60" s="42"/>
      <c r="BY60" s="35"/>
      <c r="BZ60" s="35"/>
      <c r="CA60" s="60">
        <f>BW60*BX60*BY60</f>
        <v>0</v>
      </c>
      <c r="CB60" s="60">
        <f>BW60*BX60*BZ60</f>
        <v>0</v>
      </c>
      <c r="CC60" s="61">
        <f>CA60+CB60</f>
        <v>0</v>
      </c>
      <c r="CD60" s="5"/>
      <c r="CE60" s="5"/>
      <c r="CF60" s="5"/>
      <c r="CG60" s="5"/>
      <c r="CH60" s="5"/>
      <c r="CJ60" s="40"/>
      <c r="CK60" s="49"/>
      <c r="CL60" s="42"/>
      <c r="CM60" s="42"/>
      <c r="CN60" s="35"/>
      <c r="CO60" s="35"/>
      <c r="CP60" s="60">
        <f>CL60*CM60*CN60</f>
        <v>0</v>
      </c>
      <c r="CQ60" s="60">
        <f>CL60*CM60*CO60</f>
        <v>0</v>
      </c>
      <c r="CR60" s="61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</row>
    <row r="61" spans="2:111" ht="15" customHeight="1" thickBot="1" x14ac:dyDescent="0.3">
      <c r="B61" s="191"/>
      <c r="C61" s="192"/>
      <c r="D61" s="192"/>
      <c r="E61" s="194"/>
      <c r="F61" s="196"/>
      <c r="L61" s="40"/>
      <c r="M61" s="49"/>
      <c r="N61" s="42"/>
      <c r="O61" s="42"/>
      <c r="P61" s="35"/>
      <c r="Q61" s="35"/>
      <c r="R61" s="53">
        <f t="shared" si="35"/>
        <v>0</v>
      </c>
      <c r="S61" s="53">
        <f t="shared" si="36"/>
        <v>0</v>
      </c>
      <c r="T61" s="44">
        <f t="shared" si="37"/>
        <v>0</v>
      </c>
      <c r="U61" s="5"/>
      <c r="W61" s="56"/>
      <c r="X61" s="57"/>
      <c r="Y61" s="35"/>
      <c r="Z61" s="35"/>
      <c r="AA61" s="35"/>
      <c r="AB61" s="35"/>
      <c r="AC61" s="60">
        <f t="shared" si="38"/>
        <v>0</v>
      </c>
      <c r="AD61" s="60">
        <f t="shared" si="38"/>
        <v>0</v>
      </c>
      <c r="AE61" s="78"/>
      <c r="AF61" s="60">
        <f t="shared" si="39"/>
        <v>0</v>
      </c>
      <c r="AG61" s="60">
        <f t="shared" si="40"/>
        <v>0</v>
      </c>
      <c r="AH61" s="134">
        <f>AF61*AB88/AE88</f>
        <v>0</v>
      </c>
      <c r="AI61" s="61">
        <f>AG61*AB88/AE88</f>
        <v>0</v>
      </c>
      <c r="AJ61" s="5"/>
      <c r="AK61" s="5"/>
      <c r="AL61" s="56"/>
      <c r="AM61" s="57"/>
      <c r="AN61" s="35"/>
      <c r="AO61" s="35"/>
      <c r="AP61" s="35"/>
      <c r="AQ61" s="35"/>
      <c r="AR61" s="60">
        <f t="shared" si="41"/>
        <v>0</v>
      </c>
      <c r="AS61" s="60">
        <f t="shared" si="41"/>
        <v>0</v>
      </c>
      <c r="AT61" s="78"/>
      <c r="AU61" s="60">
        <f t="shared" si="42"/>
        <v>0</v>
      </c>
      <c r="AV61" s="60">
        <f t="shared" si="43"/>
        <v>0</v>
      </c>
      <c r="AW61" s="134">
        <f>AU61*AB88/AE88</f>
        <v>0</v>
      </c>
      <c r="AX61" s="61">
        <f>AV61*AB88/AE88</f>
        <v>0</v>
      </c>
      <c r="AY61" s="5"/>
      <c r="AZ61" s="5"/>
      <c r="BA61" s="40"/>
      <c r="BB61" s="41"/>
      <c r="BC61" s="42"/>
      <c r="BD61" s="35"/>
      <c r="BE61" s="43">
        <f t="shared" si="44"/>
        <v>0</v>
      </c>
      <c r="BF61" s="35"/>
      <c r="BG61" s="44">
        <f t="shared" si="45"/>
        <v>0</v>
      </c>
      <c r="BU61" s="40"/>
      <c r="BV61" s="49"/>
      <c r="BW61" s="42"/>
      <c r="BX61" s="42"/>
      <c r="BY61" s="35"/>
      <c r="BZ61" s="35"/>
      <c r="CA61" s="60">
        <f>BW61*BX61*BY61</f>
        <v>0</v>
      </c>
      <c r="CB61" s="60">
        <f>BW61*BX61*BZ61</f>
        <v>0</v>
      </c>
      <c r="CC61" s="61"/>
      <c r="CD61" s="5"/>
      <c r="CE61" s="5"/>
      <c r="CF61" s="5"/>
      <c r="CG61" s="5"/>
      <c r="CH61" s="5"/>
      <c r="CJ61" s="86"/>
      <c r="CK61" s="87" t="s">
        <v>21</v>
      </c>
      <c r="CL61" s="88"/>
      <c r="CM61" s="88"/>
      <c r="CN61" s="89"/>
      <c r="CO61" s="89"/>
      <c r="CP61" s="89">
        <f>SUM(CP51:CP60)</f>
        <v>0</v>
      </c>
      <c r="CQ61" s="89">
        <f>SUM(CQ51:CQ60)</f>
        <v>0</v>
      </c>
      <c r="CR61" s="158">
        <f>SUM(CR51:CR60)</f>
        <v>0</v>
      </c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</row>
    <row r="62" spans="2:111" ht="15" customHeight="1" thickTop="1" thickBot="1" x14ac:dyDescent="0.3">
      <c r="L62" s="40"/>
      <c r="M62" s="49"/>
      <c r="N62" s="42"/>
      <c r="O62" s="42"/>
      <c r="P62" s="35"/>
      <c r="Q62" s="35"/>
      <c r="R62" s="53">
        <f t="shared" si="35"/>
        <v>0</v>
      </c>
      <c r="S62" s="53">
        <f t="shared" si="36"/>
        <v>0</v>
      </c>
      <c r="T62" s="44">
        <f t="shared" si="37"/>
        <v>0</v>
      </c>
      <c r="U62" s="5"/>
      <c r="W62" s="56"/>
      <c r="X62" s="57"/>
      <c r="Y62" s="35"/>
      <c r="Z62" s="35"/>
      <c r="AA62" s="35"/>
      <c r="AB62" s="35"/>
      <c r="AC62" s="60">
        <f t="shared" si="38"/>
        <v>0</v>
      </c>
      <c r="AD62" s="60">
        <f t="shared" si="38"/>
        <v>0</v>
      </c>
      <c r="AE62" s="78"/>
      <c r="AF62" s="60">
        <f t="shared" si="39"/>
        <v>0</v>
      </c>
      <c r="AG62" s="60">
        <f t="shared" si="40"/>
        <v>0</v>
      </c>
      <c r="AH62" s="134">
        <f>AF62*AB88/AE88</f>
        <v>0</v>
      </c>
      <c r="AI62" s="61">
        <f>AG62*AB88/AE88</f>
        <v>0</v>
      </c>
      <c r="AJ62" s="5"/>
      <c r="AK62" s="5"/>
      <c r="AL62" s="56"/>
      <c r="AM62" s="57"/>
      <c r="AN62" s="35"/>
      <c r="AO62" s="35"/>
      <c r="AP62" s="35"/>
      <c r="AQ62" s="35"/>
      <c r="AR62" s="60">
        <f t="shared" si="41"/>
        <v>0</v>
      </c>
      <c r="AS62" s="60">
        <f t="shared" si="41"/>
        <v>0</v>
      </c>
      <c r="AT62" s="78"/>
      <c r="AU62" s="60">
        <f t="shared" si="42"/>
        <v>0</v>
      </c>
      <c r="AV62" s="60">
        <f t="shared" si="43"/>
        <v>0</v>
      </c>
      <c r="AW62" s="134">
        <f>AU62*AB88/AE88</f>
        <v>0</v>
      </c>
      <c r="AX62" s="61">
        <f>AV62*AB88/AE88</f>
        <v>0</v>
      </c>
      <c r="AY62" s="5"/>
      <c r="AZ62" s="5"/>
      <c r="BA62" s="40"/>
      <c r="BB62" s="41"/>
      <c r="BC62" s="42"/>
      <c r="BD62" s="35"/>
      <c r="BE62" s="43">
        <f t="shared" si="44"/>
        <v>0</v>
      </c>
      <c r="BF62" s="35"/>
      <c r="BG62" s="44">
        <f t="shared" si="45"/>
        <v>0</v>
      </c>
      <c r="BU62" s="86"/>
      <c r="BV62" s="87" t="s">
        <v>21</v>
      </c>
      <c r="BW62" s="88"/>
      <c r="BX62" s="88"/>
      <c r="BY62" s="89"/>
      <c r="BZ62" s="89"/>
      <c r="CA62" s="89">
        <f>SUM(CA52:CA61)</f>
        <v>0</v>
      </c>
      <c r="CB62" s="89">
        <f>SUM(CB52:CB61)</f>
        <v>0</v>
      </c>
      <c r="CC62" s="158">
        <f>SUM(CC52:CC61)</f>
        <v>0</v>
      </c>
      <c r="CD62" s="5"/>
      <c r="CE62" s="5"/>
      <c r="CF62" s="5"/>
      <c r="CG62" s="5"/>
      <c r="CH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</row>
    <row r="63" spans="2:111" ht="15" customHeight="1" x14ac:dyDescent="0.2">
      <c r="L63" s="40"/>
      <c r="M63" s="49"/>
      <c r="N63" s="42"/>
      <c r="O63" s="42"/>
      <c r="P63" s="35"/>
      <c r="Q63" s="35"/>
      <c r="R63" s="53">
        <f t="shared" si="35"/>
        <v>0</v>
      </c>
      <c r="S63" s="53">
        <f t="shared" si="36"/>
        <v>0</v>
      </c>
      <c r="T63" s="44">
        <f t="shared" si="37"/>
        <v>0</v>
      </c>
      <c r="U63" s="5"/>
      <c r="W63" s="56"/>
      <c r="X63" s="57"/>
      <c r="Y63" s="35"/>
      <c r="Z63" s="35"/>
      <c r="AA63" s="35"/>
      <c r="AB63" s="35"/>
      <c r="AC63" s="60">
        <f t="shared" si="38"/>
        <v>0</v>
      </c>
      <c r="AD63" s="60">
        <f t="shared" si="38"/>
        <v>0</v>
      </c>
      <c r="AE63" s="78"/>
      <c r="AF63" s="60">
        <f t="shared" si="39"/>
        <v>0</v>
      </c>
      <c r="AG63" s="60">
        <f t="shared" si="40"/>
        <v>0</v>
      </c>
      <c r="AH63" s="134">
        <f>AF63*AB88/AE88</f>
        <v>0</v>
      </c>
      <c r="AI63" s="61">
        <f>AG63*AB88/AE88</f>
        <v>0</v>
      </c>
      <c r="AJ63" s="5"/>
      <c r="AK63" s="5"/>
      <c r="AL63" s="56"/>
      <c r="AM63" s="57"/>
      <c r="AN63" s="35"/>
      <c r="AO63" s="35"/>
      <c r="AP63" s="35"/>
      <c r="AQ63" s="35"/>
      <c r="AR63" s="60">
        <f t="shared" si="41"/>
        <v>0</v>
      </c>
      <c r="AS63" s="60">
        <f t="shared" si="41"/>
        <v>0</v>
      </c>
      <c r="AT63" s="78"/>
      <c r="AU63" s="60">
        <f t="shared" si="42"/>
        <v>0</v>
      </c>
      <c r="AV63" s="60">
        <f t="shared" si="43"/>
        <v>0</v>
      </c>
      <c r="AW63" s="134">
        <f>AU63*AB88/AE88</f>
        <v>0</v>
      </c>
      <c r="AX63" s="61">
        <f>AV63*AB88/AE88</f>
        <v>0</v>
      </c>
      <c r="AY63" s="5"/>
      <c r="AZ63" s="5"/>
      <c r="BA63" s="40"/>
      <c r="BB63" s="41"/>
      <c r="BC63" s="42"/>
      <c r="BD63" s="35"/>
      <c r="BE63" s="43">
        <f t="shared" si="44"/>
        <v>0</v>
      </c>
      <c r="BF63" s="35"/>
      <c r="BG63" s="44">
        <f t="shared" si="45"/>
        <v>0</v>
      </c>
    </row>
    <row r="64" spans="2:111" ht="15" customHeight="1" x14ac:dyDescent="0.2">
      <c r="L64" s="40"/>
      <c r="M64" s="49"/>
      <c r="N64" s="42"/>
      <c r="O64" s="42"/>
      <c r="P64" s="35"/>
      <c r="Q64" s="35"/>
      <c r="R64" s="53">
        <f t="shared" si="35"/>
        <v>0</v>
      </c>
      <c r="S64" s="53">
        <f t="shared" si="36"/>
        <v>0</v>
      </c>
      <c r="T64" s="44">
        <f t="shared" si="37"/>
        <v>0</v>
      </c>
      <c r="U64" s="5"/>
      <c r="W64" s="56"/>
      <c r="X64" s="57"/>
      <c r="Y64" s="35"/>
      <c r="Z64" s="35"/>
      <c r="AA64" s="35"/>
      <c r="AB64" s="35"/>
      <c r="AC64" s="60">
        <f t="shared" si="38"/>
        <v>0</v>
      </c>
      <c r="AD64" s="60">
        <f t="shared" si="38"/>
        <v>0</v>
      </c>
      <c r="AE64" s="78"/>
      <c r="AF64" s="60">
        <f t="shared" si="39"/>
        <v>0</v>
      </c>
      <c r="AG64" s="60">
        <f t="shared" si="40"/>
        <v>0</v>
      </c>
      <c r="AH64" s="134">
        <f>AF64*AB88/AE88</f>
        <v>0</v>
      </c>
      <c r="AI64" s="61">
        <f>AG64*AB88/AE88</f>
        <v>0</v>
      </c>
      <c r="AJ64" s="5"/>
      <c r="AK64" s="5"/>
      <c r="AL64" s="56"/>
      <c r="AM64" s="57"/>
      <c r="AN64" s="35"/>
      <c r="AO64" s="35"/>
      <c r="AP64" s="35"/>
      <c r="AQ64" s="35"/>
      <c r="AR64" s="60">
        <f t="shared" si="41"/>
        <v>0</v>
      </c>
      <c r="AS64" s="60">
        <f t="shared" si="41"/>
        <v>0</v>
      </c>
      <c r="AT64" s="78"/>
      <c r="AU64" s="60">
        <f t="shared" si="42"/>
        <v>0</v>
      </c>
      <c r="AV64" s="60">
        <f t="shared" si="43"/>
        <v>0</v>
      </c>
      <c r="AW64" s="134">
        <f>AU64*AB88/AE88</f>
        <v>0</v>
      </c>
      <c r="AX64" s="61">
        <f>AV64*AB88/AE88</f>
        <v>0</v>
      </c>
      <c r="AY64" s="5"/>
      <c r="AZ64" s="5"/>
      <c r="BA64" s="40"/>
      <c r="BB64" s="41"/>
      <c r="BC64" s="42"/>
      <c r="BD64" s="35"/>
      <c r="BE64" s="43">
        <f t="shared" si="44"/>
        <v>0</v>
      </c>
      <c r="BF64" s="35"/>
      <c r="BG64" s="44">
        <f t="shared" si="45"/>
        <v>0</v>
      </c>
    </row>
    <row r="65" spans="12:100" ht="15" customHeight="1" x14ac:dyDescent="0.2">
      <c r="L65" s="40"/>
      <c r="M65" s="49"/>
      <c r="N65" s="42"/>
      <c r="O65" s="42"/>
      <c r="P65" s="35"/>
      <c r="Q65" s="35"/>
      <c r="R65" s="53">
        <f t="shared" si="35"/>
        <v>0</v>
      </c>
      <c r="S65" s="53">
        <f t="shared" si="36"/>
        <v>0</v>
      </c>
      <c r="T65" s="44">
        <f t="shared" si="37"/>
        <v>0</v>
      </c>
      <c r="U65" s="5"/>
      <c r="W65" s="56"/>
      <c r="X65" s="57"/>
      <c r="Y65" s="35"/>
      <c r="Z65" s="35"/>
      <c r="AA65" s="35"/>
      <c r="AB65" s="35"/>
      <c r="AC65" s="60">
        <f t="shared" si="38"/>
        <v>0</v>
      </c>
      <c r="AD65" s="60">
        <f t="shared" si="38"/>
        <v>0</v>
      </c>
      <c r="AE65" s="78"/>
      <c r="AF65" s="60">
        <f t="shared" si="39"/>
        <v>0</v>
      </c>
      <c r="AG65" s="60">
        <f t="shared" si="40"/>
        <v>0</v>
      </c>
      <c r="AH65" s="134">
        <f>AF65*AB88/AE88</f>
        <v>0</v>
      </c>
      <c r="AI65" s="61">
        <f>AG65*AB88/AE88</f>
        <v>0</v>
      </c>
      <c r="AJ65" s="5"/>
      <c r="AK65" s="5"/>
      <c r="AL65" s="56"/>
      <c r="AM65" s="57"/>
      <c r="AN65" s="35"/>
      <c r="AO65" s="35"/>
      <c r="AP65" s="35"/>
      <c r="AQ65" s="35"/>
      <c r="AR65" s="60">
        <f t="shared" si="41"/>
        <v>0</v>
      </c>
      <c r="AS65" s="60">
        <f t="shared" si="41"/>
        <v>0</v>
      </c>
      <c r="AT65" s="78"/>
      <c r="AU65" s="60">
        <f t="shared" si="42"/>
        <v>0</v>
      </c>
      <c r="AV65" s="60">
        <f t="shared" si="43"/>
        <v>0</v>
      </c>
      <c r="AW65" s="134">
        <f>AU65*AB88/AE88</f>
        <v>0</v>
      </c>
      <c r="AX65" s="61">
        <f>AV65*AB88/AE88</f>
        <v>0</v>
      </c>
      <c r="AY65" s="5"/>
      <c r="AZ65" s="5"/>
      <c r="BA65" s="40"/>
      <c r="BB65" s="41"/>
      <c r="BC65" s="42"/>
      <c r="BD65" s="35"/>
      <c r="BE65" s="43">
        <f t="shared" si="44"/>
        <v>0</v>
      </c>
      <c r="BF65" s="35"/>
      <c r="BG65" s="44">
        <f t="shared" si="45"/>
        <v>0</v>
      </c>
    </row>
    <row r="66" spans="12:100" ht="15" customHeight="1" x14ac:dyDescent="0.2">
      <c r="L66" s="40"/>
      <c r="M66" s="49"/>
      <c r="N66" s="42"/>
      <c r="O66" s="42"/>
      <c r="P66" s="35"/>
      <c r="Q66" s="35"/>
      <c r="R66" s="53">
        <f t="shared" si="35"/>
        <v>0</v>
      </c>
      <c r="S66" s="53">
        <f t="shared" si="36"/>
        <v>0</v>
      </c>
      <c r="T66" s="44">
        <f t="shared" si="37"/>
        <v>0</v>
      </c>
      <c r="U66" s="5"/>
      <c r="W66" s="56"/>
      <c r="X66" s="57"/>
      <c r="Y66" s="35"/>
      <c r="Z66" s="35"/>
      <c r="AA66" s="35"/>
      <c r="AB66" s="35"/>
      <c r="AC66" s="60">
        <f t="shared" si="38"/>
        <v>0</v>
      </c>
      <c r="AD66" s="60">
        <f t="shared" si="38"/>
        <v>0</v>
      </c>
      <c r="AE66" s="78"/>
      <c r="AF66" s="60">
        <f t="shared" si="39"/>
        <v>0</v>
      </c>
      <c r="AG66" s="60">
        <f t="shared" si="40"/>
        <v>0</v>
      </c>
      <c r="AH66" s="134">
        <f>AF66*AB88/AE88</f>
        <v>0</v>
      </c>
      <c r="AI66" s="61">
        <f>AG66*AB88/AE88</f>
        <v>0</v>
      </c>
      <c r="AJ66" s="5"/>
      <c r="AK66" s="5"/>
      <c r="AL66" s="56"/>
      <c r="AM66" s="57"/>
      <c r="AN66" s="35"/>
      <c r="AO66" s="35"/>
      <c r="AP66" s="35"/>
      <c r="AQ66" s="35"/>
      <c r="AR66" s="60">
        <f t="shared" si="41"/>
        <v>0</v>
      </c>
      <c r="AS66" s="60">
        <f t="shared" si="41"/>
        <v>0</v>
      </c>
      <c r="AT66" s="78"/>
      <c r="AU66" s="60">
        <f t="shared" si="42"/>
        <v>0</v>
      </c>
      <c r="AV66" s="60">
        <f t="shared" si="43"/>
        <v>0</v>
      </c>
      <c r="AW66" s="134">
        <f>AU66*AB88/AE88</f>
        <v>0</v>
      </c>
      <c r="AX66" s="61">
        <f>AV66*AB88/AE88</f>
        <v>0</v>
      </c>
      <c r="AY66" s="5"/>
      <c r="AZ66" s="5"/>
      <c r="BA66" s="40"/>
      <c r="BB66" s="41"/>
      <c r="BC66" s="42"/>
      <c r="BD66" s="35"/>
      <c r="BE66" s="43">
        <f t="shared" si="44"/>
        <v>0</v>
      </c>
      <c r="BF66" s="35"/>
      <c r="BG66" s="44">
        <f t="shared" si="45"/>
        <v>0</v>
      </c>
    </row>
    <row r="67" spans="12:100" ht="15" customHeight="1" x14ac:dyDescent="0.25">
      <c r="L67" s="40"/>
      <c r="M67" s="49"/>
      <c r="N67" s="42"/>
      <c r="O67" s="42"/>
      <c r="P67" s="35"/>
      <c r="Q67" s="35"/>
      <c r="R67" s="53">
        <f t="shared" si="35"/>
        <v>0</v>
      </c>
      <c r="S67" s="53">
        <f t="shared" si="36"/>
        <v>0</v>
      </c>
      <c r="T67" s="44">
        <f t="shared" si="37"/>
        <v>0</v>
      </c>
      <c r="U67" s="5"/>
      <c r="W67" s="56"/>
      <c r="X67" s="57"/>
      <c r="Y67" s="35"/>
      <c r="Z67" s="35"/>
      <c r="AA67" s="35"/>
      <c r="AB67" s="35"/>
      <c r="AC67" s="60">
        <f t="shared" si="38"/>
        <v>0</v>
      </c>
      <c r="AD67" s="60">
        <f t="shared" si="38"/>
        <v>0</v>
      </c>
      <c r="AE67" s="78"/>
      <c r="AF67" s="60">
        <f t="shared" si="39"/>
        <v>0</v>
      </c>
      <c r="AG67" s="60">
        <f t="shared" si="40"/>
        <v>0</v>
      </c>
      <c r="AH67" s="134">
        <f>AF67*AB88/AE88</f>
        <v>0</v>
      </c>
      <c r="AI67" s="61">
        <f>AG67*AB88/AE88</f>
        <v>0</v>
      </c>
      <c r="AJ67" s="5"/>
      <c r="AK67" s="5"/>
      <c r="AL67" s="56"/>
      <c r="AM67" s="57"/>
      <c r="AN67" s="35"/>
      <c r="AO67" s="35"/>
      <c r="AP67" s="35"/>
      <c r="AQ67" s="35"/>
      <c r="AR67" s="60">
        <f t="shared" si="41"/>
        <v>0</v>
      </c>
      <c r="AS67" s="60">
        <f t="shared" si="41"/>
        <v>0</v>
      </c>
      <c r="AT67" s="78"/>
      <c r="AU67" s="60">
        <f t="shared" si="42"/>
        <v>0</v>
      </c>
      <c r="AV67" s="60">
        <f t="shared" si="43"/>
        <v>0</v>
      </c>
      <c r="AW67" s="134">
        <f>AU67*AB88/AE88</f>
        <v>0</v>
      </c>
      <c r="AX67" s="61">
        <f>AV67*AB88/AE88</f>
        <v>0</v>
      </c>
      <c r="AY67" s="5"/>
      <c r="AZ67" s="5"/>
      <c r="BA67" s="40"/>
      <c r="BB67" s="41"/>
      <c r="BC67" s="42"/>
      <c r="BD67" s="35"/>
      <c r="BE67" s="43">
        <f t="shared" si="44"/>
        <v>0</v>
      </c>
      <c r="BF67" s="35"/>
      <c r="BG67" s="44">
        <f t="shared" si="45"/>
        <v>0</v>
      </c>
      <c r="BU67" s="182" t="s">
        <v>110</v>
      </c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</row>
    <row r="68" spans="12:100" ht="15" customHeight="1" thickBot="1" x14ac:dyDescent="0.3">
      <c r="L68" s="40"/>
      <c r="M68" s="49"/>
      <c r="N68" s="42"/>
      <c r="O68" s="42"/>
      <c r="P68" s="35"/>
      <c r="Q68" s="35"/>
      <c r="R68" s="53">
        <f t="shared" si="35"/>
        <v>0</v>
      </c>
      <c r="S68" s="53">
        <f t="shared" si="36"/>
        <v>0</v>
      </c>
      <c r="T68" s="44">
        <f t="shared" si="37"/>
        <v>0</v>
      </c>
      <c r="U68" s="5"/>
      <c r="W68" s="56"/>
      <c r="X68" s="57"/>
      <c r="Y68" s="35"/>
      <c r="Z68" s="35"/>
      <c r="AA68" s="35"/>
      <c r="AB68" s="35"/>
      <c r="AC68" s="60">
        <f t="shared" si="38"/>
        <v>0</v>
      </c>
      <c r="AD68" s="60">
        <f t="shared" si="38"/>
        <v>0</v>
      </c>
      <c r="AE68" s="78"/>
      <c r="AF68" s="60">
        <f t="shared" si="39"/>
        <v>0</v>
      </c>
      <c r="AG68" s="60">
        <f t="shared" si="40"/>
        <v>0</v>
      </c>
      <c r="AH68" s="134">
        <f>AF68*AB88/AE88</f>
        <v>0</v>
      </c>
      <c r="AI68" s="61">
        <f>AG68*AB88/AE88</f>
        <v>0</v>
      </c>
      <c r="AJ68" s="5"/>
      <c r="AK68" s="5"/>
      <c r="AL68" s="56"/>
      <c r="AM68" s="57"/>
      <c r="AN68" s="35"/>
      <c r="AO68" s="35"/>
      <c r="AP68" s="35"/>
      <c r="AQ68" s="35"/>
      <c r="AR68" s="60">
        <f t="shared" si="41"/>
        <v>0</v>
      </c>
      <c r="AS68" s="60">
        <f t="shared" si="41"/>
        <v>0</v>
      </c>
      <c r="AT68" s="78"/>
      <c r="AU68" s="60">
        <f t="shared" si="42"/>
        <v>0</v>
      </c>
      <c r="AV68" s="60">
        <f t="shared" si="43"/>
        <v>0</v>
      </c>
      <c r="AW68" s="134">
        <f>AU68*AB88/AE88</f>
        <v>0</v>
      </c>
      <c r="AX68" s="61">
        <f>AV68*AB88/AE88</f>
        <v>0</v>
      </c>
      <c r="AY68" s="5"/>
      <c r="AZ68" s="5"/>
      <c r="BA68" s="40"/>
      <c r="BB68" s="41"/>
      <c r="BC68" s="42"/>
      <c r="BD68" s="35"/>
      <c r="BE68" s="43">
        <f t="shared" si="44"/>
        <v>0</v>
      </c>
      <c r="BF68" s="35"/>
      <c r="BG68" s="44">
        <f t="shared" si="45"/>
        <v>0</v>
      </c>
      <c r="BU68" s="8"/>
      <c r="BV68" s="5"/>
      <c r="BW68" s="5"/>
      <c r="BX68" s="9"/>
      <c r="BY68" s="9"/>
      <c r="BZ68" s="5"/>
      <c r="CA68" s="5"/>
      <c r="CB68" s="5"/>
      <c r="CC68" s="5"/>
      <c r="CD68" s="5"/>
      <c r="CE68" s="5"/>
      <c r="CF68" s="5"/>
      <c r="CG68" s="5"/>
      <c r="CJ68" s="182" t="s">
        <v>111</v>
      </c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</row>
    <row r="69" spans="12:100" ht="15" customHeight="1" thickBot="1" x14ac:dyDescent="0.25">
      <c r="L69" s="40"/>
      <c r="M69" s="49"/>
      <c r="N69" s="42"/>
      <c r="O69" s="42"/>
      <c r="P69" s="35"/>
      <c r="Q69" s="35"/>
      <c r="R69" s="53">
        <f t="shared" si="35"/>
        <v>0</v>
      </c>
      <c r="S69" s="53">
        <f t="shared" si="36"/>
        <v>0</v>
      </c>
      <c r="T69" s="44">
        <f t="shared" si="37"/>
        <v>0</v>
      </c>
      <c r="U69" s="5"/>
      <c r="W69" s="56"/>
      <c r="X69" s="57"/>
      <c r="Y69" s="35"/>
      <c r="Z69" s="35"/>
      <c r="AA69" s="35"/>
      <c r="AB69" s="35"/>
      <c r="AC69" s="60">
        <f t="shared" si="38"/>
        <v>0</v>
      </c>
      <c r="AD69" s="60">
        <f t="shared" si="38"/>
        <v>0</v>
      </c>
      <c r="AE69" s="78"/>
      <c r="AF69" s="60">
        <f t="shared" si="39"/>
        <v>0</v>
      </c>
      <c r="AG69" s="60">
        <f t="shared" si="40"/>
        <v>0</v>
      </c>
      <c r="AH69" s="134">
        <f>AF69*AB88/AE88</f>
        <v>0</v>
      </c>
      <c r="AI69" s="61">
        <f>AG69*AB88/AE88</f>
        <v>0</v>
      </c>
      <c r="AJ69" s="5"/>
      <c r="AK69" s="5"/>
      <c r="AL69" s="56"/>
      <c r="AM69" s="57"/>
      <c r="AN69" s="35"/>
      <c r="AO69" s="35"/>
      <c r="AP69" s="35"/>
      <c r="AQ69" s="35"/>
      <c r="AR69" s="60">
        <f t="shared" si="41"/>
        <v>0</v>
      </c>
      <c r="AS69" s="60">
        <f t="shared" si="41"/>
        <v>0</v>
      </c>
      <c r="AT69" s="78"/>
      <c r="AU69" s="60">
        <f t="shared" si="42"/>
        <v>0</v>
      </c>
      <c r="AV69" s="60">
        <f t="shared" si="43"/>
        <v>0</v>
      </c>
      <c r="AW69" s="134">
        <f>AU69*AB88/AE88</f>
        <v>0</v>
      </c>
      <c r="AX69" s="61">
        <f>AV69*AB88/AE88</f>
        <v>0</v>
      </c>
      <c r="AY69" s="5"/>
      <c r="AZ69" s="5"/>
      <c r="BA69" s="40"/>
      <c r="BB69" s="41"/>
      <c r="BC69" s="42"/>
      <c r="BD69" s="35"/>
      <c r="BE69" s="43">
        <f t="shared" si="44"/>
        <v>0</v>
      </c>
      <c r="BF69" s="35"/>
      <c r="BG69" s="44">
        <f t="shared" si="45"/>
        <v>0</v>
      </c>
      <c r="BU69" s="15" t="s">
        <v>22</v>
      </c>
      <c r="BV69" s="16" t="s">
        <v>23</v>
      </c>
      <c r="BW69" s="179" t="s">
        <v>24</v>
      </c>
      <c r="BX69" s="179"/>
      <c r="BY69" s="180" t="s">
        <v>88</v>
      </c>
      <c r="BZ69" s="180"/>
      <c r="CA69" s="180" t="s">
        <v>26</v>
      </c>
      <c r="CB69" s="180"/>
      <c r="CC69" s="16" t="s">
        <v>116</v>
      </c>
      <c r="CD69" s="180" t="s">
        <v>28</v>
      </c>
      <c r="CE69" s="180"/>
      <c r="CF69" s="181" t="s">
        <v>117</v>
      </c>
      <c r="CG69" s="181"/>
      <c r="CJ69" s="8"/>
      <c r="CK69" s="5"/>
      <c r="CL69" s="5"/>
      <c r="CM69" s="9"/>
      <c r="CN69" s="9"/>
      <c r="CO69" s="5"/>
      <c r="CP69" s="5"/>
      <c r="CQ69" s="5"/>
      <c r="CR69" s="5"/>
      <c r="CS69" s="5"/>
      <c r="CT69" s="5"/>
      <c r="CU69" s="5"/>
      <c r="CV69" s="5"/>
    </row>
    <row r="70" spans="12:100" ht="15" customHeight="1" x14ac:dyDescent="0.25">
      <c r="L70" s="40"/>
      <c r="M70" s="49"/>
      <c r="N70" s="42"/>
      <c r="O70" s="42"/>
      <c r="P70" s="35"/>
      <c r="Q70" s="35"/>
      <c r="R70" s="53">
        <f t="shared" si="35"/>
        <v>0</v>
      </c>
      <c r="S70" s="53">
        <f t="shared" si="36"/>
        <v>0</v>
      </c>
      <c r="T70" s="44">
        <f t="shared" si="37"/>
        <v>0</v>
      </c>
      <c r="U70" s="5"/>
      <c r="W70" s="56"/>
      <c r="X70" s="57"/>
      <c r="Y70" s="35"/>
      <c r="Z70" s="35"/>
      <c r="AA70" s="35"/>
      <c r="AB70" s="35"/>
      <c r="AC70" s="60">
        <f t="shared" si="38"/>
        <v>0</v>
      </c>
      <c r="AD70" s="60">
        <f t="shared" si="38"/>
        <v>0</v>
      </c>
      <c r="AE70" s="78"/>
      <c r="AF70" s="60">
        <f t="shared" si="39"/>
        <v>0</v>
      </c>
      <c r="AG70" s="60">
        <f t="shared" si="40"/>
        <v>0</v>
      </c>
      <c r="AH70" s="134">
        <f>AF70*AB88/AE88</f>
        <v>0</v>
      </c>
      <c r="AI70" s="61">
        <f>AG70*AB88/AE88</f>
        <v>0</v>
      </c>
      <c r="AJ70" s="5"/>
      <c r="AK70" s="5"/>
      <c r="AL70" s="56"/>
      <c r="AM70" s="57"/>
      <c r="AN70" s="35"/>
      <c r="AO70" s="35"/>
      <c r="AP70" s="35"/>
      <c r="AQ70" s="35"/>
      <c r="AR70" s="60">
        <f t="shared" si="41"/>
        <v>0</v>
      </c>
      <c r="AS70" s="60">
        <f t="shared" si="41"/>
        <v>0</v>
      </c>
      <c r="AT70" s="78"/>
      <c r="AU70" s="60">
        <f t="shared" si="42"/>
        <v>0</v>
      </c>
      <c r="AV70" s="60">
        <f t="shared" si="43"/>
        <v>0</v>
      </c>
      <c r="AW70" s="134">
        <f>AU70*AB88/AE88</f>
        <v>0</v>
      </c>
      <c r="AX70" s="61">
        <f>AV70*AB88/AE88</f>
        <v>0</v>
      </c>
      <c r="AY70" s="5"/>
      <c r="AZ70" s="5"/>
      <c r="BA70" s="40"/>
      <c r="BB70" s="41"/>
      <c r="BC70" s="42"/>
      <c r="BD70" s="35"/>
      <c r="BE70" s="43">
        <f t="shared" si="44"/>
        <v>0</v>
      </c>
      <c r="BF70" s="35"/>
      <c r="BG70" s="44">
        <f t="shared" si="45"/>
        <v>0</v>
      </c>
      <c r="BU70" s="128"/>
      <c r="BV70" s="129"/>
      <c r="BW70" s="130" t="s">
        <v>119</v>
      </c>
      <c r="BX70" s="131" t="s">
        <v>130</v>
      </c>
      <c r="BY70" s="130" t="s">
        <v>119</v>
      </c>
      <c r="BZ70" s="131" t="s">
        <v>130</v>
      </c>
      <c r="CA70" s="130" t="s">
        <v>119</v>
      </c>
      <c r="CB70" s="131" t="s">
        <v>130</v>
      </c>
      <c r="CC70" s="131" t="s">
        <v>120</v>
      </c>
      <c r="CD70" s="130" t="s">
        <v>119</v>
      </c>
      <c r="CE70" s="131" t="s">
        <v>130</v>
      </c>
      <c r="CF70" s="130" t="s">
        <v>119</v>
      </c>
      <c r="CG70" s="132" t="s">
        <v>130</v>
      </c>
      <c r="CJ70" s="15" t="s">
        <v>22</v>
      </c>
      <c r="CK70" s="16" t="s">
        <v>23</v>
      </c>
      <c r="CL70" s="179" t="s">
        <v>24</v>
      </c>
      <c r="CM70" s="179"/>
      <c r="CN70" s="180" t="s">
        <v>88</v>
      </c>
      <c r="CO70" s="180"/>
      <c r="CP70" s="180" t="s">
        <v>26</v>
      </c>
      <c r="CQ70" s="180"/>
      <c r="CR70" s="16" t="s">
        <v>116</v>
      </c>
      <c r="CS70" s="180" t="s">
        <v>28</v>
      </c>
      <c r="CT70" s="180"/>
      <c r="CU70" s="181" t="s">
        <v>117</v>
      </c>
      <c r="CV70" s="181"/>
    </row>
    <row r="71" spans="12:100" ht="15" customHeight="1" x14ac:dyDescent="0.25">
      <c r="L71" s="40"/>
      <c r="M71" s="49"/>
      <c r="N71" s="42"/>
      <c r="O71" s="42"/>
      <c r="P71" s="35"/>
      <c r="Q71" s="35"/>
      <c r="R71" s="53">
        <f t="shared" si="35"/>
        <v>0</v>
      </c>
      <c r="S71" s="53">
        <f t="shared" si="36"/>
        <v>0</v>
      </c>
      <c r="T71" s="44">
        <f t="shared" si="37"/>
        <v>0</v>
      </c>
      <c r="U71" s="5"/>
      <c r="W71" s="56"/>
      <c r="X71" s="57"/>
      <c r="Y71" s="35"/>
      <c r="Z71" s="35"/>
      <c r="AA71" s="35"/>
      <c r="AB71" s="35"/>
      <c r="AC71" s="60">
        <f t="shared" si="38"/>
        <v>0</v>
      </c>
      <c r="AD71" s="60">
        <f t="shared" si="38"/>
        <v>0</v>
      </c>
      <c r="AE71" s="78"/>
      <c r="AF71" s="60">
        <f t="shared" si="39"/>
        <v>0</v>
      </c>
      <c r="AG71" s="60">
        <f t="shared" si="40"/>
        <v>0</v>
      </c>
      <c r="AH71" s="134">
        <f>AF71*AB88/AE88</f>
        <v>0</v>
      </c>
      <c r="AI71" s="61">
        <f>AG71*AB88/AE88</f>
        <v>0</v>
      </c>
      <c r="AJ71" s="5"/>
      <c r="AK71" s="5"/>
      <c r="AL71" s="56"/>
      <c r="AM71" s="57"/>
      <c r="AN71" s="35"/>
      <c r="AO71" s="35"/>
      <c r="AP71" s="35"/>
      <c r="AQ71" s="35"/>
      <c r="AR71" s="60">
        <f t="shared" si="41"/>
        <v>0</v>
      </c>
      <c r="AS71" s="60">
        <f t="shared" si="41"/>
        <v>0</v>
      </c>
      <c r="AT71" s="78"/>
      <c r="AU71" s="60">
        <f t="shared" si="42"/>
        <v>0</v>
      </c>
      <c r="AV71" s="60">
        <f t="shared" si="43"/>
        <v>0</v>
      </c>
      <c r="AW71" s="134">
        <f>AU71*AB88/AE88</f>
        <v>0</v>
      </c>
      <c r="AX71" s="61">
        <f>AV71*AB88/AE88</f>
        <v>0</v>
      </c>
      <c r="AY71" s="5"/>
      <c r="AZ71" s="5"/>
      <c r="BA71" s="40"/>
      <c r="BB71" s="41"/>
      <c r="BC71" s="42"/>
      <c r="BD71" s="35"/>
      <c r="BE71" s="43">
        <f t="shared" si="44"/>
        <v>0</v>
      </c>
      <c r="BF71" s="35"/>
      <c r="BG71" s="44">
        <f t="shared" si="45"/>
        <v>0</v>
      </c>
      <c r="BU71" s="56"/>
      <c r="BV71" s="57"/>
      <c r="BW71" s="35"/>
      <c r="BX71" s="35"/>
      <c r="BY71" s="35"/>
      <c r="BZ71" s="35"/>
      <c r="CA71" s="60">
        <f t="shared" ref="CA71:CB91" si="46">BW71-BY71</f>
        <v>0</v>
      </c>
      <c r="CB71" s="60">
        <f t="shared" si="46"/>
        <v>0</v>
      </c>
      <c r="CC71" s="78"/>
      <c r="CD71" s="60">
        <f t="shared" ref="CD71:CD91" si="47">CA71*CC71%</f>
        <v>0</v>
      </c>
      <c r="CE71" s="60">
        <f t="shared" ref="CE71:CE91" si="48">CB71*CC71%</f>
        <v>0</v>
      </c>
      <c r="CF71" s="134">
        <f>CD71*AB88/AE88</f>
        <v>0</v>
      </c>
      <c r="CG71" s="134">
        <f>CE71*AB88/AE88</f>
        <v>0</v>
      </c>
      <c r="CJ71" s="128"/>
      <c r="CK71" s="129"/>
      <c r="CL71" s="130" t="s">
        <v>119</v>
      </c>
      <c r="CM71" s="131" t="s">
        <v>130</v>
      </c>
      <c r="CN71" s="130" t="s">
        <v>119</v>
      </c>
      <c r="CO71" s="131" t="s">
        <v>130</v>
      </c>
      <c r="CP71" s="130" t="s">
        <v>119</v>
      </c>
      <c r="CQ71" s="131" t="s">
        <v>130</v>
      </c>
      <c r="CR71" s="131" t="s">
        <v>120</v>
      </c>
      <c r="CS71" s="130" t="s">
        <v>119</v>
      </c>
      <c r="CT71" s="131" t="s">
        <v>130</v>
      </c>
      <c r="CU71" s="130" t="s">
        <v>119</v>
      </c>
      <c r="CV71" s="132" t="s">
        <v>130</v>
      </c>
    </row>
    <row r="72" spans="12:100" ht="15" customHeight="1" x14ac:dyDescent="0.2">
      <c r="L72" s="40"/>
      <c r="M72" s="49"/>
      <c r="N72" s="42"/>
      <c r="O72" s="42"/>
      <c r="P72" s="35"/>
      <c r="Q72" s="35"/>
      <c r="R72" s="53">
        <f t="shared" si="35"/>
        <v>0</v>
      </c>
      <c r="S72" s="53">
        <f t="shared" si="36"/>
        <v>0</v>
      </c>
      <c r="T72" s="44">
        <f t="shared" si="37"/>
        <v>0</v>
      </c>
      <c r="U72" s="5"/>
      <c r="W72" s="56"/>
      <c r="X72" s="57"/>
      <c r="Y72" s="35"/>
      <c r="Z72" s="35"/>
      <c r="AA72" s="35"/>
      <c r="AB72" s="35"/>
      <c r="AC72" s="60">
        <f t="shared" si="38"/>
        <v>0</v>
      </c>
      <c r="AD72" s="60">
        <f t="shared" si="38"/>
        <v>0</v>
      </c>
      <c r="AE72" s="78"/>
      <c r="AF72" s="60">
        <f t="shared" si="39"/>
        <v>0</v>
      </c>
      <c r="AG72" s="60">
        <f t="shared" si="40"/>
        <v>0</v>
      </c>
      <c r="AH72" s="134">
        <f>AF72*AB88/AE88</f>
        <v>0</v>
      </c>
      <c r="AI72" s="61">
        <f>AG72*AB88/AE88</f>
        <v>0</v>
      </c>
      <c r="AJ72" s="5"/>
      <c r="AK72" s="5"/>
      <c r="AL72" s="56"/>
      <c r="AM72" s="57"/>
      <c r="AN72" s="35"/>
      <c r="AO72" s="35"/>
      <c r="AP72" s="35"/>
      <c r="AQ72" s="35"/>
      <c r="AR72" s="60">
        <f t="shared" si="41"/>
        <v>0</v>
      </c>
      <c r="AS72" s="60">
        <f t="shared" si="41"/>
        <v>0</v>
      </c>
      <c r="AT72" s="78"/>
      <c r="AU72" s="60">
        <f t="shared" si="42"/>
        <v>0</v>
      </c>
      <c r="AV72" s="60">
        <f t="shared" si="43"/>
        <v>0</v>
      </c>
      <c r="AW72" s="134">
        <f>AU72*AB88/AE88</f>
        <v>0</v>
      </c>
      <c r="AX72" s="61">
        <f>AV72*AB88/AE88</f>
        <v>0</v>
      </c>
      <c r="AY72" s="5"/>
      <c r="AZ72" s="5"/>
      <c r="BA72" s="40"/>
      <c r="BB72" s="41"/>
      <c r="BC72" s="42"/>
      <c r="BD72" s="35"/>
      <c r="BE72" s="43">
        <f t="shared" si="44"/>
        <v>0</v>
      </c>
      <c r="BF72" s="35"/>
      <c r="BG72" s="44">
        <f t="shared" si="45"/>
        <v>0</v>
      </c>
      <c r="BU72" s="56"/>
      <c r="BV72" s="57"/>
      <c r="BW72" s="35"/>
      <c r="BX72" s="35"/>
      <c r="BY72" s="35"/>
      <c r="BZ72" s="35"/>
      <c r="CA72" s="60">
        <f t="shared" si="46"/>
        <v>0</v>
      </c>
      <c r="CB72" s="60">
        <f t="shared" si="46"/>
        <v>0</v>
      </c>
      <c r="CC72" s="78"/>
      <c r="CD72" s="60">
        <f t="shared" si="47"/>
        <v>0</v>
      </c>
      <c r="CE72" s="60">
        <f t="shared" si="48"/>
        <v>0</v>
      </c>
      <c r="CF72" s="134">
        <f>CD72*AB88/AE88</f>
        <v>0</v>
      </c>
      <c r="CG72" s="134">
        <f>CE72*AB88/AE88</f>
        <v>0</v>
      </c>
      <c r="CJ72" s="56"/>
      <c r="CK72" s="57"/>
      <c r="CL72" s="35"/>
      <c r="CM72" s="35"/>
      <c r="CN72" s="35"/>
      <c r="CO72" s="35"/>
      <c r="CP72" s="60">
        <f t="shared" ref="CP72:CQ92" si="49">CL72-CN72</f>
        <v>0</v>
      </c>
      <c r="CQ72" s="60">
        <f t="shared" si="49"/>
        <v>0</v>
      </c>
      <c r="CR72" s="78"/>
      <c r="CS72" s="60">
        <f t="shared" ref="CS72:CS92" si="50">CP72*CR72%</f>
        <v>0</v>
      </c>
      <c r="CT72" s="60">
        <f t="shared" ref="CT72:CT92" si="51">CQ72*CR72%</f>
        <v>0</v>
      </c>
      <c r="CU72" s="134">
        <f>CS72*AB88/AE88</f>
        <v>0</v>
      </c>
      <c r="CV72" s="61">
        <f>CT72*AB88/AE88</f>
        <v>0</v>
      </c>
    </row>
    <row r="73" spans="12:100" ht="15" customHeight="1" x14ac:dyDescent="0.2">
      <c r="L73" s="40"/>
      <c r="M73" s="49"/>
      <c r="N73" s="42"/>
      <c r="O73" s="42"/>
      <c r="P73" s="35"/>
      <c r="Q73" s="35"/>
      <c r="R73" s="53">
        <f t="shared" si="35"/>
        <v>0</v>
      </c>
      <c r="S73" s="53">
        <f t="shared" si="36"/>
        <v>0</v>
      </c>
      <c r="T73" s="44">
        <f t="shared" si="37"/>
        <v>0</v>
      </c>
      <c r="U73" s="5"/>
      <c r="W73" s="56"/>
      <c r="X73" s="57"/>
      <c r="Y73" s="35"/>
      <c r="Z73" s="35"/>
      <c r="AA73" s="35"/>
      <c r="AB73" s="35"/>
      <c r="AC73" s="60">
        <f t="shared" si="38"/>
        <v>0</v>
      </c>
      <c r="AD73" s="60">
        <f t="shared" si="38"/>
        <v>0</v>
      </c>
      <c r="AE73" s="78"/>
      <c r="AF73" s="60">
        <f t="shared" si="39"/>
        <v>0</v>
      </c>
      <c r="AG73" s="60">
        <f t="shared" si="40"/>
        <v>0</v>
      </c>
      <c r="AH73" s="134">
        <f>AF73*AB88/AE88</f>
        <v>0</v>
      </c>
      <c r="AI73" s="61">
        <f>AG73*AB88/AE88</f>
        <v>0</v>
      </c>
      <c r="AJ73" s="5"/>
      <c r="AK73" s="5"/>
      <c r="AL73" s="56"/>
      <c r="AM73" s="57"/>
      <c r="AN73" s="35"/>
      <c r="AO73" s="35"/>
      <c r="AP73" s="35"/>
      <c r="AQ73" s="35"/>
      <c r="AR73" s="60">
        <f t="shared" si="41"/>
        <v>0</v>
      </c>
      <c r="AS73" s="60">
        <f t="shared" si="41"/>
        <v>0</v>
      </c>
      <c r="AT73" s="78"/>
      <c r="AU73" s="60">
        <f t="shared" si="42"/>
        <v>0</v>
      </c>
      <c r="AV73" s="60">
        <f t="shared" si="43"/>
        <v>0</v>
      </c>
      <c r="AW73" s="134">
        <f>AU73*AB88/AE88</f>
        <v>0</v>
      </c>
      <c r="AX73" s="61">
        <f>AV73*AB88/AE88</f>
        <v>0</v>
      </c>
      <c r="AY73" s="5"/>
      <c r="AZ73" s="5"/>
      <c r="BA73" s="40"/>
      <c r="BB73" s="41"/>
      <c r="BC73" s="42"/>
      <c r="BD73" s="35"/>
      <c r="BE73" s="43">
        <f t="shared" si="44"/>
        <v>0</v>
      </c>
      <c r="BF73" s="35"/>
      <c r="BG73" s="44">
        <f t="shared" si="45"/>
        <v>0</v>
      </c>
      <c r="BU73" s="56"/>
      <c r="BV73" s="57"/>
      <c r="BW73" s="35"/>
      <c r="BX73" s="35"/>
      <c r="BY73" s="35"/>
      <c r="BZ73" s="35"/>
      <c r="CA73" s="60">
        <f t="shared" si="46"/>
        <v>0</v>
      </c>
      <c r="CB73" s="60">
        <f t="shared" si="46"/>
        <v>0</v>
      </c>
      <c r="CC73" s="78"/>
      <c r="CD73" s="60">
        <f t="shared" si="47"/>
        <v>0</v>
      </c>
      <c r="CE73" s="60">
        <f t="shared" si="48"/>
        <v>0</v>
      </c>
      <c r="CF73" s="134">
        <f>CD73*AB88/AE88</f>
        <v>0</v>
      </c>
      <c r="CG73" s="134">
        <f>CE73*AB88/AE88</f>
        <v>0</v>
      </c>
      <c r="CJ73" s="56"/>
      <c r="CK73" s="57"/>
      <c r="CL73" s="35"/>
      <c r="CM73" s="35"/>
      <c r="CN73" s="35"/>
      <c r="CO73" s="35"/>
      <c r="CP73" s="60">
        <f t="shared" si="49"/>
        <v>0</v>
      </c>
      <c r="CQ73" s="60">
        <f t="shared" si="49"/>
        <v>0</v>
      </c>
      <c r="CR73" s="78"/>
      <c r="CS73" s="60">
        <f t="shared" si="50"/>
        <v>0</v>
      </c>
      <c r="CT73" s="60">
        <f t="shared" si="51"/>
        <v>0</v>
      </c>
      <c r="CU73" s="134">
        <f>CS73*AB88/AE88</f>
        <v>0</v>
      </c>
      <c r="CV73" s="61">
        <f>CT73*AB88/AE88</f>
        <v>0</v>
      </c>
    </row>
    <row r="74" spans="12:100" ht="15" customHeight="1" x14ac:dyDescent="0.2">
      <c r="L74" s="40"/>
      <c r="M74" s="49"/>
      <c r="N74" s="42"/>
      <c r="O74" s="42"/>
      <c r="P74" s="35"/>
      <c r="Q74" s="35"/>
      <c r="R74" s="53">
        <f t="shared" si="35"/>
        <v>0</v>
      </c>
      <c r="S74" s="53">
        <f t="shared" si="36"/>
        <v>0</v>
      </c>
      <c r="T74" s="44">
        <f t="shared" si="37"/>
        <v>0</v>
      </c>
      <c r="U74" s="5"/>
      <c r="W74" s="56"/>
      <c r="X74" s="159"/>
      <c r="Y74" s="160"/>
      <c r="Z74" s="35"/>
      <c r="AA74" s="35"/>
      <c r="AB74" s="35"/>
      <c r="AC74" s="60">
        <f t="shared" si="38"/>
        <v>0</v>
      </c>
      <c r="AD74" s="60">
        <f t="shared" si="38"/>
        <v>0</v>
      </c>
      <c r="AE74" s="78"/>
      <c r="AF74" s="60">
        <f t="shared" si="39"/>
        <v>0</v>
      </c>
      <c r="AG74" s="60">
        <f t="shared" si="40"/>
        <v>0</v>
      </c>
      <c r="AH74" s="134">
        <f>AF74*AB88/AE88</f>
        <v>0</v>
      </c>
      <c r="AI74" s="61">
        <f>AG74*AB88/AE88</f>
        <v>0</v>
      </c>
      <c r="AJ74" s="5"/>
      <c r="AK74" s="5"/>
      <c r="AL74" s="56"/>
      <c r="AM74" s="159"/>
      <c r="AN74" s="160"/>
      <c r="AO74" s="35"/>
      <c r="AP74" s="35"/>
      <c r="AQ74" s="35"/>
      <c r="AR74" s="60">
        <f t="shared" si="41"/>
        <v>0</v>
      </c>
      <c r="AS74" s="60">
        <f t="shared" si="41"/>
        <v>0</v>
      </c>
      <c r="AT74" s="78"/>
      <c r="AU74" s="60">
        <f t="shared" si="42"/>
        <v>0</v>
      </c>
      <c r="AV74" s="60">
        <f t="shared" si="43"/>
        <v>0</v>
      </c>
      <c r="AW74" s="134">
        <f>AU74*AB88/AE88</f>
        <v>0</v>
      </c>
      <c r="AX74" s="61">
        <f>AV74*AB88/AE88</f>
        <v>0</v>
      </c>
      <c r="AY74" s="5"/>
      <c r="AZ74" s="5"/>
      <c r="BA74" s="40"/>
      <c r="BB74" s="41"/>
      <c r="BC74" s="42"/>
      <c r="BD74" s="35"/>
      <c r="BE74" s="43">
        <f t="shared" si="44"/>
        <v>0</v>
      </c>
      <c r="BF74" s="35"/>
      <c r="BG74" s="44">
        <f t="shared" si="45"/>
        <v>0</v>
      </c>
      <c r="BU74" s="56"/>
      <c r="BV74" s="57"/>
      <c r="BW74" s="35"/>
      <c r="BX74" s="35"/>
      <c r="BY74" s="35"/>
      <c r="BZ74" s="35"/>
      <c r="CA74" s="60">
        <f t="shared" si="46"/>
        <v>0</v>
      </c>
      <c r="CB74" s="60">
        <f t="shared" si="46"/>
        <v>0</v>
      </c>
      <c r="CC74" s="78"/>
      <c r="CD74" s="60">
        <f t="shared" si="47"/>
        <v>0</v>
      </c>
      <c r="CE74" s="60">
        <f t="shared" si="48"/>
        <v>0</v>
      </c>
      <c r="CF74" s="134">
        <f>CD74*AB88/AE88</f>
        <v>0</v>
      </c>
      <c r="CG74" s="134">
        <f>CE74*AB88/AE88</f>
        <v>0</v>
      </c>
      <c r="CJ74" s="56"/>
      <c r="CK74" s="57"/>
      <c r="CL74" s="35"/>
      <c r="CM74" s="35"/>
      <c r="CN74" s="35"/>
      <c r="CO74" s="35"/>
      <c r="CP74" s="60">
        <f t="shared" si="49"/>
        <v>0</v>
      </c>
      <c r="CQ74" s="60">
        <f t="shared" si="49"/>
        <v>0</v>
      </c>
      <c r="CR74" s="78"/>
      <c r="CS74" s="60">
        <f t="shared" si="50"/>
        <v>0</v>
      </c>
      <c r="CT74" s="60">
        <f t="shared" si="51"/>
        <v>0</v>
      </c>
      <c r="CU74" s="134">
        <f>CS74*AB88/AE88</f>
        <v>0</v>
      </c>
      <c r="CV74" s="61">
        <f>CT74*AB88/AE88</f>
        <v>0</v>
      </c>
    </row>
    <row r="75" spans="12:100" ht="14.25" x14ac:dyDescent="0.2">
      <c r="L75" s="40"/>
      <c r="M75" s="112"/>
      <c r="N75" s="42"/>
      <c r="O75" s="42"/>
      <c r="P75" s="35"/>
      <c r="Q75" s="35"/>
      <c r="R75" s="53">
        <f t="shared" si="35"/>
        <v>0</v>
      </c>
      <c r="S75" s="53">
        <f t="shared" si="36"/>
        <v>0</v>
      </c>
      <c r="T75" s="44">
        <f t="shared" si="37"/>
        <v>0</v>
      </c>
      <c r="U75" s="5"/>
      <c r="W75" s="56"/>
      <c r="X75" s="159"/>
      <c r="Y75" s="160"/>
      <c r="Z75" s="35"/>
      <c r="AA75" s="35"/>
      <c r="AB75" s="35"/>
      <c r="AC75" s="60">
        <f t="shared" si="38"/>
        <v>0</v>
      </c>
      <c r="AD75" s="60">
        <f t="shared" si="38"/>
        <v>0</v>
      </c>
      <c r="AE75" s="78"/>
      <c r="AF75" s="60">
        <f t="shared" si="39"/>
        <v>0</v>
      </c>
      <c r="AG75" s="60">
        <f t="shared" si="40"/>
        <v>0</v>
      </c>
      <c r="AH75" s="134">
        <f>AF75*AB88/AE88</f>
        <v>0</v>
      </c>
      <c r="AI75" s="61">
        <f>AG75*AB88/AE88</f>
        <v>0</v>
      </c>
      <c r="AJ75" s="5"/>
      <c r="AK75" s="5"/>
      <c r="AL75" s="56"/>
      <c r="AM75" s="159"/>
      <c r="AN75" s="160"/>
      <c r="AO75" s="35"/>
      <c r="AP75" s="35"/>
      <c r="AQ75" s="35"/>
      <c r="AR75" s="60">
        <f t="shared" si="41"/>
        <v>0</v>
      </c>
      <c r="AS75" s="60">
        <f t="shared" si="41"/>
        <v>0</v>
      </c>
      <c r="AT75" s="78"/>
      <c r="AU75" s="60">
        <f t="shared" si="42"/>
        <v>0</v>
      </c>
      <c r="AV75" s="60">
        <f t="shared" si="43"/>
        <v>0</v>
      </c>
      <c r="AW75" s="134">
        <f>AU75*AB88/AE88</f>
        <v>0</v>
      </c>
      <c r="AX75" s="61">
        <f>AV75*AB88/AE88</f>
        <v>0</v>
      </c>
      <c r="AY75" s="5"/>
      <c r="AZ75" s="5"/>
      <c r="BA75" s="40"/>
      <c r="BB75" s="41"/>
      <c r="BC75" s="42"/>
      <c r="BD75" s="35"/>
      <c r="BE75" s="43">
        <f t="shared" si="44"/>
        <v>0</v>
      </c>
      <c r="BF75" s="35"/>
      <c r="BG75" s="44">
        <f t="shared" si="45"/>
        <v>0</v>
      </c>
      <c r="BU75" s="56"/>
      <c r="BV75" s="57"/>
      <c r="BW75" s="35"/>
      <c r="BX75" s="35"/>
      <c r="BY75" s="35"/>
      <c r="BZ75" s="35"/>
      <c r="CA75" s="60">
        <f t="shared" si="46"/>
        <v>0</v>
      </c>
      <c r="CB75" s="60">
        <f t="shared" si="46"/>
        <v>0</v>
      </c>
      <c r="CC75" s="78"/>
      <c r="CD75" s="60">
        <f t="shared" si="47"/>
        <v>0</v>
      </c>
      <c r="CE75" s="60">
        <f t="shared" si="48"/>
        <v>0</v>
      </c>
      <c r="CF75" s="134">
        <f>CD75*AB88/AE88</f>
        <v>0</v>
      </c>
      <c r="CG75" s="134">
        <f>CE75*AB88/AE88</f>
        <v>0</v>
      </c>
      <c r="CJ75" s="56"/>
      <c r="CK75" s="57"/>
      <c r="CL75" s="35"/>
      <c r="CM75" s="35"/>
      <c r="CN75" s="35"/>
      <c r="CO75" s="35"/>
      <c r="CP75" s="60">
        <f t="shared" si="49"/>
        <v>0</v>
      </c>
      <c r="CQ75" s="60">
        <f t="shared" si="49"/>
        <v>0</v>
      </c>
      <c r="CR75" s="78"/>
      <c r="CS75" s="60">
        <f t="shared" si="50"/>
        <v>0</v>
      </c>
      <c r="CT75" s="60">
        <f t="shared" si="51"/>
        <v>0</v>
      </c>
      <c r="CU75" s="134">
        <f>CS75*AB88/AE88</f>
        <v>0</v>
      </c>
      <c r="CV75" s="61">
        <f>CT75*AB88/AE88</f>
        <v>0</v>
      </c>
    </row>
    <row r="76" spans="12:100" ht="14.25" x14ac:dyDescent="0.2">
      <c r="L76" s="40"/>
      <c r="M76" s="42"/>
      <c r="N76" s="42"/>
      <c r="O76" s="42"/>
      <c r="P76" s="35"/>
      <c r="Q76" s="35"/>
      <c r="R76" s="53">
        <f t="shared" si="35"/>
        <v>0</v>
      </c>
      <c r="S76" s="53">
        <f t="shared" si="36"/>
        <v>0</v>
      </c>
      <c r="T76" s="44">
        <f t="shared" si="37"/>
        <v>0</v>
      </c>
      <c r="U76" s="5"/>
      <c r="W76" s="56"/>
      <c r="X76" s="159"/>
      <c r="Y76" s="160"/>
      <c r="Z76" s="35"/>
      <c r="AA76" s="35"/>
      <c r="AB76" s="35"/>
      <c r="AC76" s="60">
        <f t="shared" si="38"/>
        <v>0</v>
      </c>
      <c r="AD76" s="60">
        <f t="shared" si="38"/>
        <v>0</v>
      </c>
      <c r="AE76" s="78"/>
      <c r="AF76" s="60">
        <f t="shared" si="39"/>
        <v>0</v>
      </c>
      <c r="AG76" s="60">
        <f t="shared" si="40"/>
        <v>0</v>
      </c>
      <c r="AH76" s="134">
        <f>AF76*AB88/AE88</f>
        <v>0</v>
      </c>
      <c r="AI76" s="61">
        <f>AG76*AB88/AE88</f>
        <v>0</v>
      </c>
      <c r="AJ76" s="5"/>
      <c r="AK76" s="5"/>
      <c r="AL76" s="56"/>
      <c r="AM76" s="159"/>
      <c r="AN76" s="160"/>
      <c r="AO76" s="35"/>
      <c r="AP76" s="35"/>
      <c r="AQ76" s="35"/>
      <c r="AR76" s="60">
        <f t="shared" si="41"/>
        <v>0</v>
      </c>
      <c r="AS76" s="60">
        <f t="shared" si="41"/>
        <v>0</v>
      </c>
      <c r="AT76" s="78"/>
      <c r="AU76" s="60">
        <f t="shared" si="42"/>
        <v>0</v>
      </c>
      <c r="AV76" s="60">
        <f t="shared" si="43"/>
        <v>0</v>
      </c>
      <c r="AW76" s="134">
        <f>AU76*AB88/AE88</f>
        <v>0</v>
      </c>
      <c r="AX76" s="61">
        <f>AV76*AB88/AE88</f>
        <v>0</v>
      </c>
      <c r="AY76" s="5"/>
      <c r="AZ76" s="5"/>
      <c r="BA76" s="40"/>
      <c r="BB76" s="41"/>
      <c r="BC76" s="42"/>
      <c r="BD76" s="35"/>
      <c r="BE76" s="43">
        <f t="shared" si="44"/>
        <v>0</v>
      </c>
      <c r="BF76" s="35"/>
      <c r="BG76" s="44">
        <f t="shared" si="45"/>
        <v>0</v>
      </c>
      <c r="BU76" s="56"/>
      <c r="BV76" s="57"/>
      <c r="BW76" s="35"/>
      <c r="BX76" s="35"/>
      <c r="BY76" s="35"/>
      <c r="BZ76" s="35"/>
      <c r="CA76" s="60">
        <f t="shared" si="46"/>
        <v>0</v>
      </c>
      <c r="CB76" s="60">
        <f t="shared" si="46"/>
        <v>0</v>
      </c>
      <c r="CC76" s="78"/>
      <c r="CD76" s="60">
        <f t="shared" si="47"/>
        <v>0</v>
      </c>
      <c r="CE76" s="60">
        <f t="shared" si="48"/>
        <v>0</v>
      </c>
      <c r="CF76" s="134">
        <f>CD76*AB88/AE88</f>
        <v>0</v>
      </c>
      <c r="CG76" s="134">
        <f>CE76*AB88/AE88</f>
        <v>0</v>
      </c>
      <c r="CJ76" s="56"/>
      <c r="CK76" s="57"/>
      <c r="CL76" s="35"/>
      <c r="CM76" s="35"/>
      <c r="CN76" s="35"/>
      <c r="CO76" s="35"/>
      <c r="CP76" s="60">
        <f t="shared" si="49"/>
        <v>0</v>
      </c>
      <c r="CQ76" s="60">
        <f t="shared" si="49"/>
        <v>0</v>
      </c>
      <c r="CR76" s="78"/>
      <c r="CS76" s="60">
        <f t="shared" si="50"/>
        <v>0</v>
      </c>
      <c r="CT76" s="60">
        <f t="shared" si="51"/>
        <v>0</v>
      </c>
      <c r="CU76" s="134">
        <f>CS76*AB88/AE88</f>
        <v>0</v>
      </c>
      <c r="CV76" s="61">
        <f>CT76*AB88/AE88</f>
        <v>0</v>
      </c>
    </row>
    <row r="77" spans="12:100" ht="15.75" thickBot="1" x14ac:dyDescent="0.3">
      <c r="L77" s="113"/>
      <c r="M77" s="114" t="s">
        <v>21</v>
      </c>
      <c r="N77" s="115"/>
      <c r="O77" s="115"/>
      <c r="P77" s="116"/>
      <c r="Q77" s="116"/>
      <c r="R77" s="161">
        <f>SUM(R49:R76)</f>
        <v>3.6720000000000002</v>
      </c>
      <c r="S77" s="161">
        <f>SUM(S49:S76)</f>
        <v>0</v>
      </c>
      <c r="T77" s="161">
        <f>SUM(T49:T76)</f>
        <v>3.6720000000000002</v>
      </c>
      <c r="U77" s="5"/>
      <c r="W77" s="56"/>
      <c r="X77" s="133"/>
      <c r="Y77" s="35"/>
      <c r="Z77" s="35"/>
      <c r="AA77" s="35"/>
      <c r="AB77" s="35"/>
      <c r="AC77" s="60">
        <f t="shared" si="38"/>
        <v>0</v>
      </c>
      <c r="AD77" s="60">
        <f t="shared" si="38"/>
        <v>0</v>
      </c>
      <c r="AE77" s="78"/>
      <c r="AF77" s="60">
        <f t="shared" si="39"/>
        <v>0</v>
      </c>
      <c r="AG77" s="60">
        <f t="shared" si="40"/>
        <v>0</v>
      </c>
      <c r="AH77" s="134">
        <f>AF77*AB88/AE88</f>
        <v>0</v>
      </c>
      <c r="AI77" s="61">
        <f>AG77*AB88/AE88</f>
        <v>0</v>
      </c>
      <c r="AJ77" s="5"/>
      <c r="AK77" s="5"/>
      <c r="AL77" s="56"/>
      <c r="AM77" s="133"/>
      <c r="AN77" s="35"/>
      <c r="AO77" s="35"/>
      <c r="AP77" s="35"/>
      <c r="AQ77" s="35"/>
      <c r="AR77" s="60">
        <f t="shared" si="41"/>
        <v>0</v>
      </c>
      <c r="AS77" s="60">
        <f t="shared" si="41"/>
        <v>0</v>
      </c>
      <c r="AT77" s="78"/>
      <c r="AU77" s="60">
        <f t="shared" si="42"/>
        <v>0</v>
      </c>
      <c r="AV77" s="60">
        <f t="shared" si="43"/>
        <v>0</v>
      </c>
      <c r="AW77" s="134">
        <f>AU77*AB88/AE88</f>
        <v>0</v>
      </c>
      <c r="AX77" s="61">
        <f>AV77*AB88/AE88</f>
        <v>0</v>
      </c>
      <c r="AY77" s="5"/>
      <c r="AZ77" s="5"/>
      <c r="BA77" s="40"/>
      <c r="BB77" s="41"/>
      <c r="BC77" s="42"/>
      <c r="BD77" s="35"/>
      <c r="BE77" s="43">
        <f t="shared" si="44"/>
        <v>0</v>
      </c>
      <c r="BF77" s="35"/>
      <c r="BG77" s="44">
        <f t="shared" si="45"/>
        <v>0</v>
      </c>
      <c r="BU77" s="56"/>
      <c r="BV77" s="57"/>
      <c r="BW77" s="35"/>
      <c r="BX77" s="35"/>
      <c r="BY77" s="35"/>
      <c r="BZ77" s="35"/>
      <c r="CA77" s="60">
        <f t="shared" si="46"/>
        <v>0</v>
      </c>
      <c r="CB77" s="60">
        <f t="shared" si="46"/>
        <v>0</v>
      </c>
      <c r="CC77" s="78"/>
      <c r="CD77" s="60">
        <f t="shared" si="47"/>
        <v>0</v>
      </c>
      <c r="CE77" s="60">
        <f t="shared" si="48"/>
        <v>0</v>
      </c>
      <c r="CF77" s="134">
        <f>CD77*AB88/AE88</f>
        <v>0</v>
      </c>
      <c r="CG77" s="134">
        <f>CE77*AB88/AE88</f>
        <v>0</v>
      </c>
      <c r="CJ77" s="56"/>
      <c r="CK77" s="57"/>
      <c r="CL77" s="35"/>
      <c r="CM77" s="35"/>
      <c r="CN77" s="35"/>
      <c r="CO77" s="35"/>
      <c r="CP77" s="60">
        <f t="shared" si="49"/>
        <v>0</v>
      </c>
      <c r="CQ77" s="60">
        <f t="shared" si="49"/>
        <v>0</v>
      </c>
      <c r="CR77" s="78"/>
      <c r="CS77" s="60">
        <f t="shared" si="50"/>
        <v>0</v>
      </c>
      <c r="CT77" s="60">
        <f t="shared" si="51"/>
        <v>0</v>
      </c>
      <c r="CU77" s="134">
        <f>CS77*AB88/AE88</f>
        <v>0</v>
      </c>
      <c r="CV77" s="61">
        <f>CT77*AB88/AE88</f>
        <v>0</v>
      </c>
    </row>
    <row r="78" spans="12:100" ht="14.25" x14ac:dyDescent="0.2">
      <c r="L78" s="5"/>
      <c r="M78" s="5"/>
      <c r="N78" s="5"/>
      <c r="O78" s="5"/>
      <c r="P78" s="5"/>
      <c r="Q78" s="5"/>
      <c r="R78" s="5"/>
      <c r="S78" s="5"/>
      <c r="T78" s="5"/>
      <c r="U78" s="5"/>
      <c r="W78" s="56"/>
      <c r="X78" s="133"/>
      <c r="Y78" s="35"/>
      <c r="Z78" s="35"/>
      <c r="AA78" s="35"/>
      <c r="AB78" s="35"/>
      <c r="AC78" s="60">
        <f t="shared" si="38"/>
        <v>0</v>
      </c>
      <c r="AD78" s="60">
        <f t="shared" si="38"/>
        <v>0</v>
      </c>
      <c r="AE78" s="78"/>
      <c r="AF78" s="60">
        <f t="shared" si="39"/>
        <v>0</v>
      </c>
      <c r="AG78" s="60">
        <f t="shared" si="40"/>
        <v>0</v>
      </c>
      <c r="AH78" s="134">
        <f>AF78*AB88/AE88</f>
        <v>0</v>
      </c>
      <c r="AI78" s="61">
        <f>AG78*AB88/AE88</f>
        <v>0</v>
      </c>
      <c r="AJ78" s="5"/>
      <c r="AK78" s="5"/>
      <c r="AL78" s="56"/>
      <c r="AM78" s="133"/>
      <c r="AN78" s="35"/>
      <c r="AO78" s="35"/>
      <c r="AP78" s="35"/>
      <c r="AQ78" s="35"/>
      <c r="AR78" s="60">
        <f t="shared" si="41"/>
        <v>0</v>
      </c>
      <c r="AS78" s="60">
        <f t="shared" si="41"/>
        <v>0</v>
      </c>
      <c r="AT78" s="78"/>
      <c r="AU78" s="60">
        <f t="shared" si="42"/>
        <v>0</v>
      </c>
      <c r="AV78" s="60">
        <f t="shared" si="43"/>
        <v>0</v>
      </c>
      <c r="AW78" s="134">
        <f>AU78*AB88/AE88</f>
        <v>0</v>
      </c>
      <c r="AX78" s="61">
        <f>AV78*AB88/AE88</f>
        <v>0</v>
      </c>
      <c r="AY78" s="5"/>
      <c r="AZ78" s="5"/>
      <c r="BA78" s="40"/>
      <c r="BB78" s="41"/>
      <c r="BC78" s="42"/>
      <c r="BD78" s="35"/>
      <c r="BE78" s="43">
        <f t="shared" si="44"/>
        <v>0</v>
      </c>
      <c r="BF78" s="35"/>
      <c r="BG78" s="44">
        <f t="shared" si="45"/>
        <v>0</v>
      </c>
      <c r="BU78" s="56"/>
      <c r="BV78" s="57"/>
      <c r="BW78" s="35"/>
      <c r="BX78" s="35"/>
      <c r="BY78" s="35"/>
      <c r="BZ78" s="35"/>
      <c r="CA78" s="60">
        <f t="shared" si="46"/>
        <v>0</v>
      </c>
      <c r="CB78" s="60">
        <f t="shared" si="46"/>
        <v>0</v>
      </c>
      <c r="CC78" s="78"/>
      <c r="CD78" s="60">
        <f t="shared" si="47"/>
        <v>0</v>
      </c>
      <c r="CE78" s="60">
        <f t="shared" si="48"/>
        <v>0</v>
      </c>
      <c r="CF78" s="134">
        <f>CD78*AB88/AE88</f>
        <v>0</v>
      </c>
      <c r="CG78" s="134">
        <f>CE78*AB88/AE88</f>
        <v>0</v>
      </c>
      <c r="CJ78" s="56"/>
      <c r="CK78" s="57"/>
      <c r="CL78" s="35"/>
      <c r="CM78" s="35"/>
      <c r="CN78" s="35"/>
      <c r="CO78" s="35"/>
      <c r="CP78" s="60">
        <f t="shared" si="49"/>
        <v>0</v>
      </c>
      <c r="CQ78" s="60">
        <f t="shared" si="49"/>
        <v>0</v>
      </c>
      <c r="CR78" s="78"/>
      <c r="CS78" s="60">
        <f t="shared" si="50"/>
        <v>0</v>
      </c>
      <c r="CT78" s="60">
        <f t="shared" si="51"/>
        <v>0</v>
      </c>
      <c r="CU78" s="134">
        <f>CS78*AB88/AE88</f>
        <v>0</v>
      </c>
      <c r="CV78" s="61">
        <f>CT78*AB88/AE88</f>
        <v>0</v>
      </c>
    </row>
    <row r="79" spans="12:100" ht="14.25" x14ac:dyDescent="0.2">
      <c r="L79" s="5"/>
      <c r="M79" s="5"/>
      <c r="N79" s="5"/>
      <c r="O79" s="5"/>
      <c r="P79" s="5"/>
      <c r="Q79" s="5"/>
      <c r="R79" s="5"/>
      <c r="S79" s="5"/>
      <c r="T79" s="5"/>
      <c r="U79" s="5"/>
      <c r="W79" s="56"/>
      <c r="X79" s="57"/>
      <c r="Y79" s="35"/>
      <c r="Z79" s="35"/>
      <c r="AA79" s="35"/>
      <c r="AB79" s="35"/>
      <c r="AC79" s="60">
        <f t="shared" si="38"/>
        <v>0</v>
      </c>
      <c r="AD79" s="60">
        <f t="shared" si="38"/>
        <v>0</v>
      </c>
      <c r="AE79" s="78"/>
      <c r="AF79" s="60">
        <f t="shared" si="39"/>
        <v>0</v>
      </c>
      <c r="AG79" s="60">
        <f t="shared" si="40"/>
        <v>0</v>
      </c>
      <c r="AH79" s="134">
        <f>AF79*AB88/AE88</f>
        <v>0</v>
      </c>
      <c r="AI79" s="61">
        <f>AG79*AB88/AE88</f>
        <v>0</v>
      </c>
      <c r="AJ79" s="5"/>
      <c r="AK79" s="5"/>
      <c r="AL79" s="56"/>
      <c r="AM79" s="57"/>
      <c r="AN79" s="35"/>
      <c r="AO79" s="35"/>
      <c r="AP79" s="35"/>
      <c r="AQ79" s="35"/>
      <c r="AR79" s="60">
        <f t="shared" si="41"/>
        <v>0</v>
      </c>
      <c r="AS79" s="60">
        <f t="shared" si="41"/>
        <v>0</v>
      </c>
      <c r="AT79" s="78"/>
      <c r="AU79" s="60">
        <f t="shared" si="42"/>
        <v>0</v>
      </c>
      <c r="AV79" s="60">
        <f t="shared" si="43"/>
        <v>0</v>
      </c>
      <c r="AW79" s="134">
        <f>AU79*AB88/AE88</f>
        <v>0</v>
      </c>
      <c r="AX79" s="61">
        <f>AV79*AB88/AE88</f>
        <v>0</v>
      </c>
      <c r="AY79" s="5"/>
      <c r="AZ79" s="5"/>
      <c r="BA79" s="40"/>
      <c r="BB79" s="41"/>
      <c r="BC79" s="42"/>
      <c r="BD79" s="35"/>
      <c r="BE79" s="43">
        <f t="shared" si="44"/>
        <v>0</v>
      </c>
      <c r="BF79" s="35"/>
      <c r="BG79" s="44">
        <f t="shared" si="45"/>
        <v>0</v>
      </c>
      <c r="BU79" s="56"/>
      <c r="BV79" s="57"/>
      <c r="BW79" s="35"/>
      <c r="BX79" s="35"/>
      <c r="BY79" s="35"/>
      <c r="BZ79" s="35"/>
      <c r="CA79" s="60">
        <f t="shared" si="46"/>
        <v>0</v>
      </c>
      <c r="CB79" s="60">
        <f t="shared" si="46"/>
        <v>0</v>
      </c>
      <c r="CC79" s="78"/>
      <c r="CD79" s="60">
        <f t="shared" si="47"/>
        <v>0</v>
      </c>
      <c r="CE79" s="60">
        <f t="shared" si="48"/>
        <v>0</v>
      </c>
      <c r="CF79" s="134">
        <f>CD79*AB88/AE88</f>
        <v>0</v>
      </c>
      <c r="CG79" s="134">
        <f>CE79*AB88/AE88</f>
        <v>0</v>
      </c>
      <c r="CJ79" s="56"/>
      <c r="CK79" s="57"/>
      <c r="CL79" s="35"/>
      <c r="CM79" s="35"/>
      <c r="CN79" s="35"/>
      <c r="CO79" s="35"/>
      <c r="CP79" s="60">
        <f t="shared" si="49"/>
        <v>0</v>
      </c>
      <c r="CQ79" s="60">
        <f t="shared" si="49"/>
        <v>0</v>
      </c>
      <c r="CR79" s="78"/>
      <c r="CS79" s="60">
        <f t="shared" si="50"/>
        <v>0</v>
      </c>
      <c r="CT79" s="60">
        <f t="shared" si="51"/>
        <v>0</v>
      </c>
      <c r="CU79" s="134">
        <f>CS79*AB88/AE88</f>
        <v>0</v>
      </c>
      <c r="CV79" s="61">
        <f>CT79*AB88/AE88</f>
        <v>0</v>
      </c>
    </row>
    <row r="80" spans="12:100" ht="15.75" thickBot="1" x14ac:dyDescent="0.3">
      <c r="W80" s="171" t="s">
        <v>21</v>
      </c>
      <c r="X80" s="171"/>
      <c r="Y80" s="171"/>
      <c r="Z80" s="171"/>
      <c r="AA80" s="171"/>
      <c r="AB80" s="171"/>
      <c r="AC80" s="90"/>
      <c r="AD80" s="90">
        <f>SUM(AD45:AD48)</f>
        <v>0</v>
      </c>
      <c r="AE80" s="162"/>
      <c r="AF80" s="90">
        <f>SUM(AF45:AF79)</f>
        <v>1310.46012</v>
      </c>
      <c r="AG80" s="90">
        <f>SUM(AG45:AG79)</f>
        <v>0</v>
      </c>
      <c r="AH80" s="120">
        <f>SUM(AH45:AH79)</f>
        <v>1.8959203124999998E-3</v>
      </c>
      <c r="AI80" s="120">
        <f>SUM(AI45:AI79)</f>
        <v>0</v>
      </c>
      <c r="AJ80" s="5"/>
      <c r="AK80" s="5"/>
      <c r="AL80" s="171" t="s">
        <v>21</v>
      </c>
      <c r="AM80" s="171"/>
      <c r="AN80" s="171"/>
      <c r="AO80" s="171"/>
      <c r="AP80" s="171"/>
      <c r="AQ80" s="171"/>
      <c r="AR80" s="90"/>
      <c r="AS80" s="90"/>
      <c r="AT80" s="162"/>
      <c r="AU80" s="90">
        <f>SUM(AU45:AU79)</f>
        <v>0</v>
      </c>
      <c r="AV80" s="90">
        <f>SUM(AV45:AV79)</f>
        <v>0</v>
      </c>
      <c r="AW80" s="120">
        <f>SUM(AW45:AW79)</f>
        <v>0</v>
      </c>
      <c r="AX80" s="120">
        <f>SUM(AX45:AX79)</f>
        <v>0</v>
      </c>
      <c r="AY80" s="5"/>
      <c r="AZ80" s="5"/>
      <c r="BA80" s="40"/>
      <c r="BB80" s="41"/>
      <c r="BC80" s="42"/>
      <c r="BD80" s="35"/>
      <c r="BE80" s="43">
        <f t="shared" si="44"/>
        <v>0</v>
      </c>
      <c r="BF80" s="35"/>
      <c r="BG80" s="44">
        <f t="shared" si="45"/>
        <v>0</v>
      </c>
      <c r="BU80" s="56"/>
      <c r="BV80" s="57"/>
      <c r="BW80" s="35"/>
      <c r="BX80" s="35"/>
      <c r="BY80" s="35"/>
      <c r="BZ80" s="35"/>
      <c r="CA80" s="60">
        <f t="shared" si="46"/>
        <v>0</v>
      </c>
      <c r="CB80" s="60">
        <f t="shared" si="46"/>
        <v>0</v>
      </c>
      <c r="CC80" s="78"/>
      <c r="CD80" s="60">
        <f t="shared" si="47"/>
        <v>0</v>
      </c>
      <c r="CE80" s="60">
        <f t="shared" si="48"/>
        <v>0</v>
      </c>
      <c r="CF80" s="134">
        <f>CD80*AB88/AE88</f>
        <v>0</v>
      </c>
      <c r="CG80" s="134">
        <f>CE80*AB88/AE88</f>
        <v>0</v>
      </c>
      <c r="CJ80" s="56"/>
      <c r="CK80" s="57"/>
      <c r="CL80" s="35"/>
      <c r="CM80" s="35"/>
      <c r="CN80" s="35"/>
      <c r="CO80" s="35"/>
      <c r="CP80" s="60">
        <f t="shared" si="49"/>
        <v>0</v>
      </c>
      <c r="CQ80" s="60">
        <f t="shared" si="49"/>
        <v>0</v>
      </c>
      <c r="CR80" s="78"/>
      <c r="CS80" s="60">
        <f t="shared" si="50"/>
        <v>0</v>
      </c>
      <c r="CT80" s="60">
        <f t="shared" si="51"/>
        <v>0</v>
      </c>
      <c r="CU80" s="134">
        <f>CS80*AB88/AE88</f>
        <v>0</v>
      </c>
      <c r="CV80" s="61">
        <f>CT80*AB88/AE88</f>
        <v>0</v>
      </c>
    </row>
    <row r="81" spans="12:100" ht="15" x14ac:dyDescent="0.25">
      <c r="L81" s="172" t="s">
        <v>140</v>
      </c>
      <c r="M81" s="172"/>
      <c r="N81" s="172"/>
      <c r="O81" s="172"/>
      <c r="P81" s="172"/>
      <c r="Q81" s="172"/>
      <c r="R81" s="172"/>
      <c r="S81" s="172"/>
      <c r="T81" s="172"/>
      <c r="W81" s="8"/>
      <c r="X81" s="5"/>
      <c r="Y81" s="5"/>
      <c r="Z81" s="9"/>
      <c r="AA81" s="9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40"/>
      <c r="BB81" s="41"/>
      <c r="BC81" s="42"/>
      <c r="BD81" s="35"/>
      <c r="BE81" s="43">
        <f t="shared" si="44"/>
        <v>0</v>
      </c>
      <c r="BF81" s="35"/>
      <c r="BG81" s="44">
        <f t="shared" si="45"/>
        <v>0</v>
      </c>
      <c r="BU81" s="56"/>
      <c r="BV81" s="57"/>
      <c r="BW81" s="35"/>
      <c r="BX81" s="35"/>
      <c r="BY81" s="35"/>
      <c r="BZ81" s="35"/>
      <c r="CA81" s="60">
        <f t="shared" si="46"/>
        <v>0</v>
      </c>
      <c r="CB81" s="60">
        <f t="shared" si="46"/>
        <v>0</v>
      </c>
      <c r="CC81" s="78"/>
      <c r="CD81" s="60">
        <f t="shared" si="47"/>
        <v>0</v>
      </c>
      <c r="CE81" s="60">
        <f t="shared" si="48"/>
        <v>0</v>
      </c>
      <c r="CF81" s="134">
        <f>CD81*AB88/AE88</f>
        <v>0</v>
      </c>
      <c r="CG81" s="134">
        <f>CE81*AB88/AE88</f>
        <v>0</v>
      </c>
      <c r="CJ81" s="56"/>
      <c r="CK81" s="57"/>
      <c r="CL81" s="35"/>
      <c r="CM81" s="35"/>
      <c r="CN81" s="35"/>
      <c r="CO81" s="35"/>
      <c r="CP81" s="60">
        <f t="shared" si="49"/>
        <v>0</v>
      </c>
      <c r="CQ81" s="60">
        <f t="shared" si="49"/>
        <v>0</v>
      </c>
      <c r="CR81" s="78"/>
      <c r="CS81" s="60">
        <f t="shared" si="50"/>
        <v>0</v>
      </c>
      <c r="CT81" s="60">
        <f t="shared" si="51"/>
        <v>0</v>
      </c>
      <c r="CU81" s="134">
        <f>CS81*AB88/AE88</f>
        <v>0</v>
      </c>
      <c r="CV81" s="61">
        <f>CT81*AB88/AE88</f>
        <v>0</v>
      </c>
    </row>
    <row r="82" spans="12:100" ht="15.75" thickBot="1" x14ac:dyDescent="0.3">
      <c r="L82" s="5"/>
      <c r="M82" s="5"/>
      <c r="N82" s="5"/>
      <c r="O82" s="5"/>
      <c r="P82" s="5"/>
      <c r="Q82" s="5"/>
      <c r="R82" s="5"/>
      <c r="S82" s="5"/>
      <c r="T82" s="5"/>
      <c r="W82" s="8"/>
      <c r="X82" s="5"/>
      <c r="Y82" s="5"/>
      <c r="Z82" s="9"/>
      <c r="AA82" s="9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173" t="s">
        <v>103</v>
      </c>
      <c r="BB82" s="173"/>
      <c r="BC82" s="173"/>
      <c r="BD82" s="116"/>
      <c r="BE82" s="163"/>
      <c r="BF82" s="116"/>
      <c r="BG82" s="117">
        <f>SUM(BG44:BG81)</f>
        <v>0</v>
      </c>
      <c r="BU82" s="56"/>
      <c r="BV82" s="57"/>
      <c r="BW82" s="35"/>
      <c r="BX82" s="35"/>
      <c r="BY82" s="35"/>
      <c r="BZ82" s="35"/>
      <c r="CA82" s="60">
        <f t="shared" si="46"/>
        <v>0</v>
      </c>
      <c r="CB82" s="60">
        <f t="shared" si="46"/>
        <v>0</v>
      </c>
      <c r="CC82" s="78"/>
      <c r="CD82" s="60">
        <f t="shared" si="47"/>
        <v>0</v>
      </c>
      <c r="CE82" s="60">
        <f t="shared" si="48"/>
        <v>0</v>
      </c>
      <c r="CF82" s="134">
        <f>CD82*AB88/AE88</f>
        <v>0</v>
      </c>
      <c r="CG82" s="134">
        <f>CE82*AB88/AE88</f>
        <v>0</v>
      </c>
      <c r="CJ82" s="56"/>
      <c r="CK82" s="57"/>
      <c r="CL82" s="35"/>
      <c r="CM82" s="35"/>
      <c r="CN82" s="35"/>
      <c r="CO82" s="35"/>
      <c r="CP82" s="60">
        <f t="shared" si="49"/>
        <v>0</v>
      </c>
      <c r="CQ82" s="60">
        <f t="shared" si="49"/>
        <v>0</v>
      </c>
      <c r="CR82" s="78"/>
      <c r="CS82" s="60">
        <f t="shared" si="50"/>
        <v>0</v>
      </c>
      <c r="CT82" s="60">
        <f t="shared" si="51"/>
        <v>0</v>
      </c>
      <c r="CU82" s="134">
        <f>CS82*AB88/AE88</f>
        <v>0</v>
      </c>
      <c r="CV82" s="61">
        <f>CT82*AB88/AE88</f>
        <v>0</v>
      </c>
    </row>
    <row r="83" spans="12:100" ht="15.75" thickBot="1" x14ac:dyDescent="0.3">
      <c r="L83" s="174" t="s">
        <v>38</v>
      </c>
      <c r="M83" s="175" t="s">
        <v>16</v>
      </c>
      <c r="N83" s="176" t="s">
        <v>17</v>
      </c>
      <c r="O83" s="164" t="s">
        <v>18</v>
      </c>
      <c r="P83" s="177" t="s">
        <v>19</v>
      </c>
      <c r="Q83" s="177"/>
      <c r="R83" s="175" t="s">
        <v>20</v>
      </c>
      <c r="S83" s="175"/>
      <c r="T83" s="178" t="s">
        <v>21</v>
      </c>
      <c r="W83" s="8"/>
      <c r="X83" s="5"/>
      <c r="Y83" s="5"/>
      <c r="Z83" s="9"/>
      <c r="AA83" s="9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/>
      <c r="BB83"/>
      <c r="BC83"/>
      <c r="BD83"/>
      <c r="BE83"/>
      <c r="BF83"/>
      <c r="BG83"/>
      <c r="BU83" s="56"/>
      <c r="BV83" s="57"/>
      <c r="BW83" s="35"/>
      <c r="BX83" s="35"/>
      <c r="BY83" s="35"/>
      <c r="BZ83" s="35"/>
      <c r="CA83" s="60">
        <f t="shared" si="46"/>
        <v>0</v>
      </c>
      <c r="CB83" s="60">
        <f t="shared" si="46"/>
        <v>0</v>
      </c>
      <c r="CC83" s="78"/>
      <c r="CD83" s="60">
        <f t="shared" si="47"/>
        <v>0</v>
      </c>
      <c r="CE83" s="60">
        <f t="shared" si="48"/>
        <v>0</v>
      </c>
      <c r="CF83" s="134">
        <f>CD83*AB88/AE88</f>
        <v>0</v>
      </c>
      <c r="CG83" s="134">
        <f>CE83*AB88/AE88</f>
        <v>0</v>
      </c>
      <c r="CJ83" s="56"/>
      <c r="CK83" s="57"/>
      <c r="CL83" s="35"/>
      <c r="CM83" s="35"/>
      <c r="CN83" s="35"/>
      <c r="CO83" s="35"/>
      <c r="CP83" s="60">
        <f t="shared" si="49"/>
        <v>0</v>
      </c>
      <c r="CQ83" s="60">
        <f t="shared" si="49"/>
        <v>0</v>
      </c>
      <c r="CR83" s="78"/>
      <c r="CS83" s="60">
        <f t="shared" si="50"/>
        <v>0</v>
      </c>
      <c r="CT83" s="60">
        <f t="shared" si="51"/>
        <v>0</v>
      </c>
      <c r="CU83" s="134">
        <f>CS83*AB88/AE88</f>
        <v>0</v>
      </c>
      <c r="CV83" s="61">
        <f>CT83*AB88/AE88</f>
        <v>0</v>
      </c>
    </row>
    <row r="84" spans="12:100" ht="15" x14ac:dyDescent="0.25">
      <c r="L84" s="174"/>
      <c r="M84" s="175"/>
      <c r="N84" s="176"/>
      <c r="O84" s="165" t="s">
        <v>43</v>
      </c>
      <c r="P84" s="166" t="s">
        <v>44</v>
      </c>
      <c r="Q84" s="31" t="s">
        <v>45</v>
      </c>
      <c r="R84" s="31" t="s">
        <v>44</v>
      </c>
      <c r="S84" s="31" t="s">
        <v>45</v>
      </c>
      <c r="T84" s="178"/>
      <c r="W84" s="8"/>
      <c r="X84" s="5"/>
      <c r="Y84" s="5"/>
      <c r="Z84" s="9"/>
      <c r="AA84" s="9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/>
      <c r="BB84"/>
      <c r="BC84"/>
      <c r="BD84"/>
      <c r="BE84"/>
      <c r="BF84"/>
      <c r="BG84"/>
      <c r="BU84" s="56"/>
      <c r="BV84" s="57"/>
      <c r="BW84" s="35"/>
      <c r="BX84" s="35"/>
      <c r="BY84" s="35"/>
      <c r="BZ84" s="35"/>
      <c r="CA84" s="60">
        <f t="shared" si="46"/>
        <v>0</v>
      </c>
      <c r="CB84" s="60">
        <f t="shared" si="46"/>
        <v>0</v>
      </c>
      <c r="CC84" s="78"/>
      <c r="CD84" s="60">
        <f t="shared" si="47"/>
        <v>0</v>
      </c>
      <c r="CE84" s="60">
        <f t="shared" si="48"/>
        <v>0</v>
      </c>
      <c r="CF84" s="134">
        <f>CD84*AB88/AE88</f>
        <v>0</v>
      </c>
      <c r="CG84" s="134">
        <f>CE84*AB88/AE88</f>
        <v>0</v>
      </c>
      <c r="CJ84" s="56"/>
      <c r="CK84" s="57"/>
      <c r="CL84" s="35"/>
      <c r="CM84" s="35"/>
      <c r="CN84" s="35"/>
      <c r="CO84" s="35"/>
      <c r="CP84" s="60">
        <f t="shared" si="49"/>
        <v>0</v>
      </c>
      <c r="CQ84" s="60">
        <f t="shared" si="49"/>
        <v>0</v>
      </c>
      <c r="CR84" s="78"/>
      <c r="CS84" s="60">
        <f t="shared" si="50"/>
        <v>0</v>
      </c>
      <c r="CT84" s="60">
        <f t="shared" si="51"/>
        <v>0</v>
      </c>
      <c r="CU84" s="134">
        <f>CS84*AB88/AE88</f>
        <v>0</v>
      </c>
      <c r="CV84" s="61">
        <f>CT84*AB88/AE88</f>
        <v>0</v>
      </c>
    </row>
    <row r="85" spans="12:100" ht="14.25" x14ac:dyDescent="0.2">
      <c r="L85" s="40"/>
      <c r="M85" s="49" t="s">
        <v>161</v>
      </c>
      <c r="N85" s="42" t="s">
        <v>162</v>
      </c>
      <c r="O85" s="167">
        <v>12.3</v>
      </c>
      <c r="P85" s="35">
        <v>8</v>
      </c>
      <c r="Q85" s="35"/>
      <c r="R85" s="50">
        <f>O85*P85</f>
        <v>98.4</v>
      </c>
      <c r="S85" s="50">
        <f>O85*Q85</f>
        <v>0</v>
      </c>
      <c r="T85" s="51">
        <f>R85+S85</f>
        <v>98.4</v>
      </c>
      <c r="W85" s="8"/>
      <c r="X85" s="5"/>
      <c r="Y85" s="5"/>
      <c r="Z85" s="9"/>
      <c r="AA85" s="9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U85" s="56"/>
      <c r="BV85" s="57"/>
      <c r="BW85" s="35"/>
      <c r="BX85" s="35"/>
      <c r="BY85" s="35"/>
      <c r="BZ85" s="35"/>
      <c r="CA85" s="60">
        <f t="shared" si="46"/>
        <v>0</v>
      </c>
      <c r="CB85" s="60">
        <f t="shared" si="46"/>
        <v>0</v>
      </c>
      <c r="CC85" s="78"/>
      <c r="CD85" s="60">
        <f t="shared" si="47"/>
        <v>0</v>
      </c>
      <c r="CE85" s="60">
        <f t="shared" si="48"/>
        <v>0</v>
      </c>
      <c r="CF85" s="134">
        <f>CD85*AB88/AE88</f>
        <v>0</v>
      </c>
      <c r="CG85" s="134">
        <f>CE85*AB88/AE88</f>
        <v>0</v>
      </c>
      <c r="CJ85" s="56"/>
      <c r="CK85" s="57"/>
      <c r="CL85" s="35"/>
      <c r="CM85" s="35"/>
      <c r="CN85" s="35"/>
      <c r="CO85" s="35"/>
      <c r="CP85" s="60">
        <f t="shared" si="49"/>
        <v>0</v>
      </c>
      <c r="CQ85" s="60">
        <f t="shared" si="49"/>
        <v>0</v>
      </c>
      <c r="CR85" s="78"/>
      <c r="CS85" s="60">
        <f t="shared" si="50"/>
        <v>0</v>
      </c>
      <c r="CT85" s="60">
        <f t="shared" si="51"/>
        <v>0</v>
      </c>
      <c r="CU85" s="134">
        <f>CS85*AB88/AE88</f>
        <v>0</v>
      </c>
      <c r="CV85" s="61">
        <f>CT85*AB88/AE88</f>
        <v>0</v>
      </c>
    </row>
    <row r="86" spans="12:100" ht="14.25" x14ac:dyDescent="0.2">
      <c r="L86" s="40"/>
      <c r="M86" s="49"/>
      <c r="N86" s="42"/>
      <c r="O86" s="42"/>
      <c r="P86" s="35"/>
      <c r="Q86" s="35"/>
      <c r="R86" s="50">
        <f>O86*P86</f>
        <v>0</v>
      </c>
      <c r="S86" s="50">
        <f>O86*Q86</f>
        <v>0</v>
      </c>
      <c r="T86" s="51">
        <f>R86+S86</f>
        <v>0</v>
      </c>
      <c r="W86" s="8"/>
      <c r="X86" s="5"/>
      <c r="Y86" s="5"/>
      <c r="Z86" s="9"/>
      <c r="AA86" s="9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U86" s="56"/>
      <c r="BV86" s="159"/>
      <c r="BW86" s="160"/>
      <c r="BX86" s="35"/>
      <c r="BY86" s="35"/>
      <c r="BZ86" s="35"/>
      <c r="CA86" s="60">
        <f t="shared" si="46"/>
        <v>0</v>
      </c>
      <c r="CB86" s="60">
        <f t="shared" si="46"/>
        <v>0</v>
      </c>
      <c r="CC86" s="78"/>
      <c r="CD86" s="60">
        <f t="shared" si="47"/>
        <v>0</v>
      </c>
      <c r="CE86" s="60">
        <f t="shared" si="48"/>
        <v>0</v>
      </c>
      <c r="CF86" s="134">
        <f>CD86*AB88/AE88</f>
        <v>0</v>
      </c>
      <c r="CG86" s="134">
        <f>CE86*AB88/AE88</f>
        <v>0</v>
      </c>
      <c r="CJ86" s="56"/>
      <c r="CK86" s="57"/>
      <c r="CL86" s="35"/>
      <c r="CM86" s="35"/>
      <c r="CN86" s="35"/>
      <c r="CO86" s="35"/>
      <c r="CP86" s="60">
        <f t="shared" si="49"/>
        <v>0</v>
      </c>
      <c r="CQ86" s="60">
        <f t="shared" si="49"/>
        <v>0</v>
      </c>
      <c r="CR86" s="78"/>
      <c r="CS86" s="60">
        <f t="shared" si="50"/>
        <v>0</v>
      </c>
      <c r="CT86" s="60">
        <f t="shared" si="51"/>
        <v>0</v>
      </c>
      <c r="CU86" s="134">
        <f>CS86*AB88/AE88</f>
        <v>0</v>
      </c>
      <c r="CV86" s="61">
        <f>CT86*AB88/AE88</f>
        <v>0</v>
      </c>
    </row>
    <row r="87" spans="12:100" ht="14.25" x14ac:dyDescent="0.2">
      <c r="L87" s="40"/>
      <c r="M87" s="49"/>
      <c r="N87" s="42"/>
      <c r="O87" s="42"/>
      <c r="P87" s="35"/>
      <c r="Q87" s="35"/>
      <c r="R87" s="50">
        <f>O87*P87</f>
        <v>0</v>
      </c>
      <c r="S87" s="50">
        <f>O87*Q87</f>
        <v>0</v>
      </c>
      <c r="T87" s="51">
        <f>R87+S87</f>
        <v>0</v>
      </c>
      <c r="W87" s="8"/>
      <c r="X87" s="5"/>
      <c r="Y87" s="5"/>
      <c r="Z87" s="9"/>
      <c r="AA87" s="9"/>
      <c r="AB87" s="169" t="s">
        <v>141</v>
      </c>
      <c r="AC87" s="169"/>
      <c r="AD87" s="5"/>
      <c r="AE87" s="169" t="s">
        <v>142</v>
      </c>
      <c r="AF87" s="169"/>
      <c r="AG87" s="169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U87" s="56"/>
      <c r="BV87" s="159"/>
      <c r="BW87" s="160"/>
      <c r="BX87" s="35"/>
      <c r="BY87" s="35"/>
      <c r="BZ87" s="35"/>
      <c r="CA87" s="60">
        <f t="shared" si="46"/>
        <v>0</v>
      </c>
      <c r="CB87" s="60">
        <f t="shared" si="46"/>
        <v>0</v>
      </c>
      <c r="CC87" s="78"/>
      <c r="CD87" s="60">
        <f t="shared" si="47"/>
        <v>0</v>
      </c>
      <c r="CE87" s="60">
        <f t="shared" si="48"/>
        <v>0</v>
      </c>
      <c r="CF87" s="134">
        <f>CD87*AB88/AE88</f>
        <v>0</v>
      </c>
      <c r="CG87" s="134">
        <f>CE87*AB88/AE88</f>
        <v>0</v>
      </c>
      <c r="CJ87" s="56"/>
      <c r="CK87" s="159"/>
      <c r="CL87" s="160"/>
      <c r="CM87" s="35"/>
      <c r="CN87" s="35"/>
      <c r="CO87" s="35"/>
      <c r="CP87" s="60">
        <f t="shared" si="49"/>
        <v>0</v>
      </c>
      <c r="CQ87" s="60">
        <f t="shared" si="49"/>
        <v>0</v>
      </c>
      <c r="CR87" s="78"/>
      <c r="CS87" s="60">
        <f t="shared" si="50"/>
        <v>0</v>
      </c>
      <c r="CT87" s="60">
        <f t="shared" si="51"/>
        <v>0</v>
      </c>
      <c r="CU87" s="134">
        <f>CS87*AB88/AE88</f>
        <v>0</v>
      </c>
      <c r="CV87" s="61">
        <f>CT87*AB88/AE88</f>
        <v>0</v>
      </c>
    </row>
    <row r="88" spans="12:100" ht="26.25" customHeight="1" x14ac:dyDescent="0.2">
      <c r="L88" s="40"/>
      <c r="M88" s="49"/>
      <c r="N88" s="42"/>
      <c r="O88" s="42"/>
      <c r="P88" s="35"/>
      <c r="Q88" s="35"/>
      <c r="R88" s="50"/>
      <c r="S88" s="50"/>
      <c r="T88" s="51"/>
      <c r="W88" s="8"/>
      <c r="X88" s="5"/>
      <c r="Y88" s="5"/>
      <c r="Z88" s="9"/>
      <c r="AA88" s="9"/>
      <c r="AB88" s="170">
        <v>2</v>
      </c>
      <c r="AC88" s="170"/>
      <c r="AD88" s="5"/>
      <c r="AE88" s="170">
        <v>1382400</v>
      </c>
      <c r="AF88" s="170"/>
      <c r="AG88" s="170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U88" s="56"/>
      <c r="BV88" s="159"/>
      <c r="BW88" s="160"/>
      <c r="BX88" s="35"/>
      <c r="BY88" s="35"/>
      <c r="BZ88" s="35"/>
      <c r="CA88" s="60">
        <f t="shared" si="46"/>
        <v>0</v>
      </c>
      <c r="CB88" s="60">
        <f t="shared" si="46"/>
        <v>0</v>
      </c>
      <c r="CC88" s="78"/>
      <c r="CD88" s="60">
        <f t="shared" si="47"/>
        <v>0</v>
      </c>
      <c r="CE88" s="60">
        <f t="shared" si="48"/>
        <v>0</v>
      </c>
      <c r="CF88" s="134">
        <f>CD88*AB88/AE88</f>
        <v>0</v>
      </c>
      <c r="CG88" s="134">
        <f>CE88*AB88/AE88</f>
        <v>0</v>
      </c>
      <c r="CJ88" s="56"/>
      <c r="CK88" s="159"/>
      <c r="CL88" s="160"/>
      <c r="CM88" s="35"/>
      <c r="CN88" s="35"/>
      <c r="CO88" s="35"/>
      <c r="CP88" s="60">
        <f t="shared" si="49"/>
        <v>0</v>
      </c>
      <c r="CQ88" s="60">
        <f t="shared" si="49"/>
        <v>0</v>
      </c>
      <c r="CR88" s="78"/>
      <c r="CS88" s="60">
        <f t="shared" si="50"/>
        <v>0</v>
      </c>
      <c r="CT88" s="60">
        <f t="shared" si="51"/>
        <v>0</v>
      </c>
      <c r="CU88" s="134">
        <f>CS88*AB88/AE88</f>
        <v>0</v>
      </c>
      <c r="CV88" s="61">
        <f>CT88*AB88/AE88</f>
        <v>0</v>
      </c>
    </row>
    <row r="89" spans="12:100" ht="14.25" x14ac:dyDescent="0.2">
      <c r="L89" s="40"/>
      <c r="M89" s="49"/>
      <c r="N89" s="42"/>
      <c r="O89" s="42"/>
      <c r="P89" s="35"/>
      <c r="Q89" s="35"/>
      <c r="R89" s="50">
        <f t="shared" ref="R89:R98" si="52">O89*P89</f>
        <v>0</v>
      </c>
      <c r="S89" s="50">
        <f t="shared" ref="S89:S98" si="53">O89*Q89</f>
        <v>0</v>
      </c>
      <c r="T89" s="51">
        <f t="shared" ref="T89:T98" si="54">R89+S89</f>
        <v>0</v>
      </c>
      <c r="W89" s="8"/>
      <c r="X89" s="5"/>
      <c r="Y89" s="5"/>
      <c r="Z89" s="9"/>
      <c r="AA89" s="9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U89" s="56"/>
      <c r="BV89" s="133"/>
      <c r="BW89" s="35"/>
      <c r="BX89" s="35"/>
      <c r="BY89" s="35"/>
      <c r="BZ89" s="35"/>
      <c r="CA89" s="60">
        <f t="shared" si="46"/>
        <v>0</v>
      </c>
      <c r="CB89" s="60">
        <f t="shared" si="46"/>
        <v>0</v>
      </c>
      <c r="CC89" s="78"/>
      <c r="CD89" s="60">
        <f t="shared" si="47"/>
        <v>0</v>
      </c>
      <c r="CE89" s="60">
        <f t="shared" si="48"/>
        <v>0</v>
      </c>
      <c r="CF89" s="134">
        <f>CD89*AB88/AE88</f>
        <v>0</v>
      </c>
      <c r="CG89" s="134">
        <f>CE89*AB88/AE88</f>
        <v>0</v>
      </c>
      <c r="CJ89" s="56"/>
      <c r="CK89" s="159"/>
      <c r="CL89" s="160"/>
      <c r="CM89" s="35"/>
      <c r="CN89" s="35"/>
      <c r="CO89" s="35"/>
      <c r="CP89" s="60">
        <f t="shared" si="49"/>
        <v>0</v>
      </c>
      <c r="CQ89" s="60">
        <f t="shared" si="49"/>
        <v>0</v>
      </c>
      <c r="CR89" s="78"/>
      <c r="CS89" s="60">
        <f t="shared" si="50"/>
        <v>0</v>
      </c>
      <c r="CT89" s="60">
        <f t="shared" si="51"/>
        <v>0</v>
      </c>
      <c r="CU89" s="134">
        <f>CS89*AB88/AE88</f>
        <v>0</v>
      </c>
      <c r="CV89" s="61">
        <f>CT89*AB88/AE88</f>
        <v>0</v>
      </c>
    </row>
    <row r="90" spans="12:100" ht="14.25" x14ac:dyDescent="0.2">
      <c r="L90" s="40"/>
      <c r="M90" s="49"/>
      <c r="N90" s="42"/>
      <c r="O90" s="42"/>
      <c r="P90" s="35"/>
      <c r="Q90" s="35"/>
      <c r="R90" s="50">
        <f t="shared" si="52"/>
        <v>0</v>
      </c>
      <c r="S90" s="50">
        <f t="shared" si="53"/>
        <v>0</v>
      </c>
      <c r="T90" s="51">
        <f t="shared" si="54"/>
        <v>0</v>
      </c>
      <c r="W90" s="8"/>
      <c r="X90" s="5"/>
      <c r="Y90" s="5"/>
      <c r="Z90" s="9"/>
      <c r="AA90" s="9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U90" s="56"/>
      <c r="BV90" s="133"/>
      <c r="BW90" s="35"/>
      <c r="BX90" s="35"/>
      <c r="BY90" s="35"/>
      <c r="BZ90" s="35"/>
      <c r="CA90" s="60">
        <f t="shared" si="46"/>
        <v>0</v>
      </c>
      <c r="CB90" s="60">
        <f t="shared" si="46"/>
        <v>0</v>
      </c>
      <c r="CC90" s="78"/>
      <c r="CD90" s="60">
        <f t="shared" si="47"/>
        <v>0</v>
      </c>
      <c r="CE90" s="60">
        <f t="shared" si="48"/>
        <v>0</v>
      </c>
      <c r="CF90" s="134">
        <f>CD90*AB88/AE88</f>
        <v>0</v>
      </c>
      <c r="CG90" s="134">
        <f>CE90*AB88/AE88</f>
        <v>0</v>
      </c>
      <c r="CJ90" s="56"/>
      <c r="CK90" s="133"/>
      <c r="CL90" s="35"/>
      <c r="CM90" s="35"/>
      <c r="CN90" s="35"/>
      <c r="CO90" s="35"/>
      <c r="CP90" s="60">
        <f t="shared" si="49"/>
        <v>0</v>
      </c>
      <c r="CQ90" s="60">
        <f t="shared" si="49"/>
        <v>0</v>
      </c>
      <c r="CR90" s="78"/>
      <c r="CS90" s="60">
        <f t="shared" si="50"/>
        <v>0</v>
      </c>
      <c r="CT90" s="60">
        <f t="shared" si="51"/>
        <v>0</v>
      </c>
      <c r="CU90" s="134">
        <f>CS90*AB88/AE88</f>
        <v>0</v>
      </c>
      <c r="CV90" s="61">
        <f>CT90*AB88/AE88</f>
        <v>0</v>
      </c>
    </row>
    <row r="91" spans="12:100" ht="14.25" x14ac:dyDescent="0.2">
      <c r="L91" s="40"/>
      <c r="M91" s="49"/>
      <c r="N91" s="42"/>
      <c r="O91" s="42"/>
      <c r="P91" s="35"/>
      <c r="Q91" s="35"/>
      <c r="R91" s="50">
        <f t="shared" si="52"/>
        <v>0</v>
      </c>
      <c r="S91" s="50">
        <f t="shared" si="53"/>
        <v>0</v>
      </c>
      <c r="T91" s="51">
        <f t="shared" si="54"/>
        <v>0</v>
      </c>
      <c r="BU91" s="56"/>
      <c r="BV91" s="57"/>
      <c r="BW91" s="35"/>
      <c r="BX91" s="35"/>
      <c r="BY91" s="35"/>
      <c r="BZ91" s="35"/>
      <c r="CA91" s="60">
        <f t="shared" si="46"/>
        <v>0</v>
      </c>
      <c r="CB91" s="60">
        <f t="shared" si="46"/>
        <v>0</v>
      </c>
      <c r="CC91" s="78"/>
      <c r="CD91" s="60">
        <f t="shared" si="47"/>
        <v>0</v>
      </c>
      <c r="CE91" s="60">
        <f t="shared" si="48"/>
        <v>0</v>
      </c>
      <c r="CF91" s="134">
        <f>CD91*AB88/AE88</f>
        <v>0</v>
      </c>
      <c r="CG91" s="134">
        <f>CE91*AB88/AE88</f>
        <v>0</v>
      </c>
      <c r="CJ91" s="56"/>
      <c r="CK91" s="133"/>
      <c r="CL91" s="35"/>
      <c r="CM91" s="35"/>
      <c r="CN91" s="35"/>
      <c r="CO91" s="35"/>
      <c r="CP91" s="60">
        <f t="shared" si="49"/>
        <v>0</v>
      </c>
      <c r="CQ91" s="60">
        <f t="shared" si="49"/>
        <v>0</v>
      </c>
      <c r="CR91" s="78"/>
      <c r="CS91" s="60">
        <f t="shared" si="50"/>
        <v>0</v>
      </c>
      <c r="CT91" s="60">
        <f t="shared" si="51"/>
        <v>0</v>
      </c>
      <c r="CU91" s="134">
        <f>CS91*AB88/AE88</f>
        <v>0</v>
      </c>
      <c r="CV91" s="61">
        <f>CT91*AB88/AE88</f>
        <v>0</v>
      </c>
    </row>
    <row r="92" spans="12:100" ht="15.75" thickBot="1" x14ac:dyDescent="0.3">
      <c r="L92" s="40"/>
      <c r="M92" s="49"/>
      <c r="N92" s="42"/>
      <c r="O92" s="104"/>
      <c r="P92" s="35"/>
      <c r="Q92" s="35"/>
      <c r="R92" s="50">
        <f t="shared" si="52"/>
        <v>0</v>
      </c>
      <c r="S92" s="50">
        <f t="shared" si="53"/>
        <v>0</v>
      </c>
      <c r="T92" s="51">
        <f t="shared" si="54"/>
        <v>0</v>
      </c>
      <c r="BU92" s="171" t="s">
        <v>21</v>
      </c>
      <c r="BV92" s="171"/>
      <c r="BW92" s="171"/>
      <c r="BX92" s="171"/>
      <c r="BY92" s="171"/>
      <c r="BZ92" s="171"/>
      <c r="CA92" s="90"/>
      <c r="CB92" s="90"/>
      <c r="CC92" s="162"/>
      <c r="CD92" s="90">
        <f>SUM(CD71:CD91)</f>
        <v>0</v>
      </c>
      <c r="CE92" s="90">
        <f>SUM(CE71:CE91)</f>
        <v>0</v>
      </c>
      <c r="CF92" s="120">
        <f>SUM(CF71:CF91)</f>
        <v>0</v>
      </c>
      <c r="CG92" s="120">
        <f>SUM(CG71:CG91)</f>
        <v>0</v>
      </c>
      <c r="CJ92" s="56"/>
      <c r="CK92" s="57"/>
      <c r="CL92" s="35"/>
      <c r="CM92" s="35"/>
      <c r="CN92" s="35"/>
      <c r="CO92" s="35"/>
      <c r="CP92" s="60">
        <f t="shared" si="49"/>
        <v>0</v>
      </c>
      <c r="CQ92" s="60">
        <f t="shared" si="49"/>
        <v>0</v>
      </c>
      <c r="CR92" s="78"/>
      <c r="CS92" s="60">
        <f t="shared" si="50"/>
        <v>0</v>
      </c>
      <c r="CT92" s="60">
        <f t="shared" si="51"/>
        <v>0</v>
      </c>
      <c r="CU92" s="134">
        <f>CS92*AB88/AE88</f>
        <v>0</v>
      </c>
      <c r="CV92" s="61">
        <f>CT92*AB88/AE88</f>
        <v>0</v>
      </c>
    </row>
    <row r="93" spans="12:100" ht="15.75" thickBot="1" x14ac:dyDescent="0.3">
      <c r="L93" s="40"/>
      <c r="M93" s="49"/>
      <c r="N93" s="42"/>
      <c r="O93" s="104"/>
      <c r="P93" s="35"/>
      <c r="Q93" s="35"/>
      <c r="R93" s="50">
        <f t="shared" si="52"/>
        <v>0</v>
      </c>
      <c r="S93" s="50">
        <f t="shared" si="53"/>
        <v>0</v>
      </c>
      <c r="T93" s="51">
        <f t="shared" si="54"/>
        <v>0</v>
      </c>
      <c r="CJ93" s="171" t="s">
        <v>21</v>
      </c>
      <c r="CK93" s="171"/>
      <c r="CL93" s="171"/>
      <c r="CM93" s="171"/>
      <c r="CN93" s="171"/>
      <c r="CO93" s="171"/>
      <c r="CP93" s="90"/>
      <c r="CQ93" s="90"/>
      <c r="CR93" s="162"/>
      <c r="CS93" s="90">
        <f>SUM(CS72:CS92)</f>
        <v>0</v>
      </c>
      <c r="CT93" s="90">
        <f>SUM(CT72:CT92)</f>
        <v>0</v>
      </c>
      <c r="CU93" s="120">
        <f>SUM(CU72:CU92)</f>
        <v>0</v>
      </c>
      <c r="CV93" s="120">
        <f>SUM(CV72:CV92)</f>
        <v>0</v>
      </c>
    </row>
    <row r="94" spans="12:100" ht="14.25" x14ac:dyDescent="0.2">
      <c r="L94" s="40"/>
      <c r="M94" s="49"/>
      <c r="N94" s="42"/>
      <c r="O94" s="104"/>
      <c r="P94" s="35"/>
      <c r="Q94" s="35"/>
      <c r="R94" s="50">
        <f t="shared" si="52"/>
        <v>0</v>
      </c>
      <c r="S94" s="50">
        <f t="shared" si="53"/>
        <v>0</v>
      </c>
      <c r="T94" s="51">
        <f t="shared" si="54"/>
        <v>0</v>
      </c>
    </row>
    <row r="95" spans="12:100" ht="14.25" x14ac:dyDescent="0.2">
      <c r="L95" s="40"/>
      <c r="M95" s="49"/>
      <c r="N95" s="42"/>
      <c r="O95" s="42"/>
      <c r="P95" s="35"/>
      <c r="Q95" s="35"/>
      <c r="R95" s="50">
        <f t="shared" si="52"/>
        <v>0</v>
      </c>
      <c r="S95" s="50">
        <f t="shared" si="53"/>
        <v>0</v>
      </c>
      <c r="T95" s="51">
        <f t="shared" si="54"/>
        <v>0</v>
      </c>
    </row>
    <row r="96" spans="12:100" ht="14.25" x14ac:dyDescent="0.2">
      <c r="L96" s="40"/>
      <c r="M96" s="42"/>
      <c r="N96" s="42"/>
      <c r="O96" s="42"/>
      <c r="P96" s="35"/>
      <c r="Q96" s="35"/>
      <c r="R96" s="50">
        <f t="shared" si="52"/>
        <v>0</v>
      </c>
      <c r="S96" s="50">
        <f t="shared" si="53"/>
        <v>0</v>
      </c>
      <c r="T96" s="51">
        <f t="shared" si="54"/>
        <v>0</v>
      </c>
    </row>
    <row r="97" spans="12:20" ht="14.25" x14ac:dyDescent="0.2">
      <c r="L97" s="40"/>
      <c r="M97" s="42"/>
      <c r="N97" s="42"/>
      <c r="O97" s="42"/>
      <c r="P97" s="35"/>
      <c r="Q97" s="35"/>
      <c r="R97" s="50">
        <f t="shared" si="52"/>
        <v>0</v>
      </c>
      <c r="S97" s="50">
        <f t="shared" si="53"/>
        <v>0</v>
      </c>
      <c r="T97" s="51">
        <f t="shared" si="54"/>
        <v>0</v>
      </c>
    </row>
    <row r="98" spans="12:20" ht="14.25" x14ac:dyDescent="0.2">
      <c r="L98" s="40"/>
      <c r="M98" s="42"/>
      <c r="N98" s="42"/>
      <c r="O98" s="42"/>
      <c r="P98" s="35"/>
      <c r="Q98" s="35"/>
      <c r="R98" s="50">
        <f t="shared" si="52"/>
        <v>0</v>
      </c>
      <c r="S98" s="50">
        <f t="shared" si="53"/>
        <v>0</v>
      </c>
      <c r="T98" s="51">
        <f t="shared" si="54"/>
        <v>0</v>
      </c>
    </row>
    <row r="99" spans="12:20" ht="15.75" thickBot="1" x14ac:dyDescent="0.3">
      <c r="L99" s="122"/>
      <c r="M99" s="168" t="s">
        <v>21</v>
      </c>
      <c r="N99" s="124"/>
      <c r="O99" s="124"/>
      <c r="P99" s="125"/>
      <c r="Q99" s="125"/>
      <c r="R99" s="125">
        <f>SUM(R85:R98)</f>
        <v>98.4</v>
      </c>
      <c r="S99" s="125">
        <f>SUM(S85:S98)</f>
        <v>0</v>
      </c>
      <c r="T99" s="126">
        <f>SUM(T85:T98)</f>
        <v>98.4</v>
      </c>
    </row>
  </sheetData>
  <mergeCells count="132">
    <mergeCell ref="AB87:AC87"/>
    <mergeCell ref="AE87:AG87"/>
    <mergeCell ref="AB88:AC88"/>
    <mergeCell ref="AE88:AG88"/>
    <mergeCell ref="BU92:BZ92"/>
    <mergeCell ref="CJ93:CO93"/>
    <mergeCell ref="L81:T81"/>
    <mergeCell ref="BA82:BC82"/>
    <mergeCell ref="L83:L84"/>
    <mergeCell ref="M83:M84"/>
    <mergeCell ref="N83:N84"/>
    <mergeCell ref="P83:Q83"/>
    <mergeCell ref="R83:S83"/>
    <mergeCell ref="T83:T84"/>
    <mergeCell ref="CL70:CM70"/>
    <mergeCell ref="CN70:CO70"/>
    <mergeCell ref="CP70:CQ70"/>
    <mergeCell ref="CS70:CT70"/>
    <mergeCell ref="CU70:CV70"/>
    <mergeCell ref="W80:AB80"/>
    <mergeCell ref="AL80:AQ80"/>
    <mergeCell ref="BU67:CG67"/>
    <mergeCell ref="CJ68:CV68"/>
    <mergeCell ref="BW69:BX69"/>
    <mergeCell ref="BY69:BZ69"/>
    <mergeCell ref="CA69:CB69"/>
    <mergeCell ref="CD69:CE69"/>
    <mergeCell ref="CF69:CG69"/>
    <mergeCell ref="B58:D59"/>
    <mergeCell ref="E58:E59"/>
    <mergeCell ref="F58:F59"/>
    <mergeCell ref="B60:D61"/>
    <mergeCell ref="E60:E61"/>
    <mergeCell ref="F60:F61"/>
    <mergeCell ref="BV50:BV51"/>
    <mergeCell ref="BW50:BW51"/>
    <mergeCell ref="BX50:BX51"/>
    <mergeCell ref="BY50:BZ50"/>
    <mergeCell ref="CA50:CB50"/>
    <mergeCell ref="CC50:CC51"/>
    <mergeCell ref="CJ47:CR47"/>
    <mergeCell ref="BU48:CC48"/>
    <mergeCell ref="CJ49:CJ50"/>
    <mergeCell ref="CK49:CK50"/>
    <mergeCell ref="CL49:CL50"/>
    <mergeCell ref="CM49:CM50"/>
    <mergeCell ref="CN49:CO49"/>
    <mergeCell ref="CP49:CQ49"/>
    <mergeCell ref="CR49:CR50"/>
    <mergeCell ref="BU50:BU51"/>
    <mergeCell ref="AU43:AV43"/>
    <mergeCell ref="AW43:AX43"/>
    <mergeCell ref="L45:T45"/>
    <mergeCell ref="L47:L48"/>
    <mergeCell ref="M47:M48"/>
    <mergeCell ref="N47:N48"/>
    <mergeCell ref="O47:O48"/>
    <mergeCell ref="P47:Q47"/>
    <mergeCell ref="R47:S47"/>
    <mergeCell ref="T47:T48"/>
    <mergeCell ref="CJ41:CM41"/>
    <mergeCell ref="BU42:BX42"/>
    <mergeCell ref="Y43:Z43"/>
    <mergeCell ref="AA43:AB43"/>
    <mergeCell ref="AC43:AD43"/>
    <mergeCell ref="AF43:AG43"/>
    <mergeCell ref="AH43:AI43"/>
    <mergeCell ref="AN43:AO43"/>
    <mergeCell ref="AP43:AQ43"/>
    <mergeCell ref="AR43:AS43"/>
    <mergeCell ref="BA36:BC36"/>
    <mergeCell ref="W37:Z37"/>
    <mergeCell ref="AL37:AO37"/>
    <mergeCell ref="W41:AI41"/>
    <mergeCell ref="AL41:AX41"/>
    <mergeCell ref="BA41:BG41"/>
    <mergeCell ref="B10:C10"/>
    <mergeCell ref="E10:F10"/>
    <mergeCell ref="CJ18:CQ18"/>
    <mergeCell ref="BU19:CB19"/>
    <mergeCell ref="L36:L37"/>
    <mergeCell ref="M36:M37"/>
    <mergeCell ref="N36:N37"/>
    <mergeCell ref="P36:Q36"/>
    <mergeCell ref="R36:S36"/>
    <mergeCell ref="T36:T37"/>
    <mergeCell ref="CT6:CU6"/>
    <mergeCell ref="CW6:CX6"/>
    <mergeCell ref="CZ6:DA6"/>
    <mergeCell ref="C7:F7"/>
    <mergeCell ref="B8:F8"/>
    <mergeCell ref="B9:C9"/>
    <mergeCell ref="D9:F9"/>
    <mergeCell ref="CL5:CL6"/>
    <mergeCell ref="CM5:CM6"/>
    <mergeCell ref="CN5:CO5"/>
    <mergeCell ref="CP5:CR5"/>
    <mergeCell ref="C6:F6"/>
    <mergeCell ref="BU6:BU7"/>
    <mergeCell ref="BV6:BV7"/>
    <mergeCell ref="BW6:BW7"/>
    <mergeCell ref="BX6:BX7"/>
    <mergeCell ref="BY6:BZ6"/>
    <mergeCell ref="BP4:BQ4"/>
    <mergeCell ref="BR4:BR5"/>
    <mergeCell ref="BU4:CC4"/>
    <mergeCell ref="AH5:AI5"/>
    <mergeCell ref="CJ5:CJ6"/>
    <mergeCell ref="CK5:CK6"/>
    <mergeCell ref="CA6:CC6"/>
    <mergeCell ref="R4:S4"/>
    <mergeCell ref="T4:T5"/>
    <mergeCell ref="BJ4:BJ5"/>
    <mergeCell ref="BK4:BK5"/>
    <mergeCell ref="BL4:BL5"/>
    <mergeCell ref="BN4:BO4"/>
    <mergeCell ref="BJ2:BR2"/>
    <mergeCell ref="CJ2:CR2"/>
    <mergeCell ref="B3:F3"/>
    <mergeCell ref="BU3:CC3"/>
    <mergeCell ref="CJ3:CR3"/>
    <mergeCell ref="C4:D4"/>
    <mergeCell ref="L4:L5"/>
    <mergeCell ref="M4:M5"/>
    <mergeCell ref="N4:N5"/>
    <mergeCell ref="P4:Q4"/>
    <mergeCell ref="B1:F1"/>
    <mergeCell ref="B2:F2"/>
    <mergeCell ref="L2:T2"/>
    <mergeCell ref="W2:AD2"/>
    <mergeCell ref="AL2:AS2"/>
    <mergeCell ref="BA2:BG2"/>
  </mergeCells>
  <hyperlinks>
    <hyperlink ref="B14" location="'Ficha de costo 1'!L2" display="  Materia Prima y Materiales Fundamentales" xr:uid="{B81F2B90-8ED5-4C15-B5C7-95840669F04F}"/>
    <hyperlink ref="B15" location="'Ficha de costo 1'!L79" display="  Combustibles y lubricantes" xr:uid="{CBC82BE3-C28B-410F-BB54-6E70E7B98D0F}"/>
    <hyperlink ref="B16" location="'Ficha de costo 1'!L45" display="  Energía Eléctrica" xr:uid="{E0A21460-E1E7-4BA4-8626-CC6E5D19D3D4}"/>
    <hyperlink ref="B17" location="'Ficha de costo 1'!M34" display="  Agua" xr:uid="{8E27FEF2-7D85-43F9-AAA6-52773AEB99B2}"/>
    <hyperlink ref="B20" location="'Ficha de costo 1'!W2" display="  Depreciación" xr:uid="{95D2B888-428A-4BC8-B98F-186AFEB001BF}"/>
    <hyperlink ref="B21" location="'Ficha de costo 1'!CU4" display="  Ropa y calzado ( trabajadores directos)" xr:uid="{1B9A6F6E-7C3B-4D40-BAE8-C3A2F2B7FC90}"/>
    <hyperlink ref="B23" location="'Ficha de costo 1'!BA2" display="  Salarios" xr:uid="{D7B444DA-F86B-495B-A5C8-517626E7B113}"/>
    <hyperlink ref="B29" location="'Ficha de costo 1'!BJ2" display="  Materiales auxiliares " xr:uid="{6D3C66DA-6CFE-4F00-AA90-ECC91A3BD5E3}"/>
    <hyperlink ref="B31" location="'Ficha de costo 1'!AL2" display="  Depreciación " xr:uid="{C8AD8739-13DA-4A27-A070-BF6251705450}"/>
    <hyperlink ref="B33" location="'Ficha de costo 1'!BA48" display="  Salarios" xr:uid="{ACF18BED-33B3-47DC-A87B-94C4F3AD8914}"/>
    <hyperlink ref="B39" location="'Ficha de costo 1'!CJ3" display="  Combustible y lubricantes" xr:uid="{F65E4896-2267-40F4-B5D4-1AD0763FA0DC}"/>
    <hyperlink ref="B40" location="'Ficha de costo 1'!CJ47" display="  Energía eléctrica" xr:uid="{4A81DADA-E15E-470E-95B3-DCB0FBADE152}"/>
    <hyperlink ref="B41" location="'Ficha de costo 1'!CJ18" display="  Depreciación" xr:uid="{4327B789-5BDF-4D5E-9339-0D6F3F28915D}"/>
    <hyperlink ref="B42" location="'Ficha de costo 1'!CX4" display="  Ropa y Calzado (trabajadores  indirectos)" xr:uid="{9649FB8E-AC6E-48B6-B97B-FAF7887071B1}"/>
    <hyperlink ref="B46" location="'Ficha de costo 1'!BU4" display="  Combustible y lubricantes" xr:uid="{8CEE42A1-9556-4B26-AEBA-BA0A986FCFCC}"/>
    <hyperlink ref="B47" location="'Ficha de costo 1'!BU48" display="  Energía eléctrica" xr:uid="{11C3B58F-C01D-4C2E-A5E4-6A7A786F45A2}"/>
    <hyperlink ref="B48" location="'Ficha de costo 1'!BU19" display="  Depreciación" xr:uid="{ABDC4E9A-1967-42FC-AE2A-6D270506CAD5}"/>
    <hyperlink ref="B49" location="'Ficha de costo 1'!DA4" display="  Ropa y Calzado (trabajadores. indirectos)" xr:uid="{3013B054-DFC7-40C2-9B8B-A6BD04557E67}"/>
  </hyperlinks>
  <pageMargins left="0.25" right="0.25" top="0.75" bottom="0.75" header="0.3" footer="0.3"/>
  <pageSetup paperSize="9" scale="52" fitToHeight="0" orientation="portrait" r:id="rId1"/>
  <headerFooter>
    <oddHeader>&amp;C&amp;"Times New Roman,Normal"&amp;12&amp;A</oddHeader>
    <oddFooter>&amp;C&amp;"Times New Roman,Normal"&amp;12Página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44BD-7563-40C8-ABF2-6B796CD5D4F1}">
  <sheetPr>
    <pageSetUpPr fitToPage="1"/>
  </sheetPr>
  <dimension ref="A1:DG99"/>
  <sheetViews>
    <sheetView tabSelected="1" zoomScale="70" zoomScaleNormal="70" workbookViewId="0">
      <selection activeCell="B8" sqref="B8:F8"/>
    </sheetView>
  </sheetViews>
  <sheetFormatPr defaultColWidth="11" defaultRowHeight="12.75" zeroHeight="1" x14ac:dyDescent="0.2"/>
  <cols>
    <col min="1" max="1" width="9.5703125" style="1" customWidth="1"/>
    <col min="2" max="2" width="46" style="1" customWidth="1"/>
    <col min="3" max="3" width="7.42578125" style="1" customWidth="1"/>
    <col min="4" max="4" width="28.140625" style="1" customWidth="1"/>
    <col min="5" max="6" width="14.140625" style="1" customWidth="1"/>
    <col min="7" max="11" width="11" style="1"/>
    <col min="12" max="12" width="9.140625" style="1" customWidth="1"/>
    <col min="13" max="13" width="36.28515625" style="1" customWidth="1"/>
    <col min="14" max="14" width="10.5703125" style="1" customWidth="1"/>
    <col min="15" max="19" width="11" style="1"/>
    <col min="20" max="20" width="13" style="1" customWidth="1"/>
    <col min="21" max="23" width="11" style="1"/>
    <col min="24" max="24" width="38.5703125" style="1" customWidth="1"/>
    <col min="25" max="25" width="11" style="1"/>
    <col min="26" max="26" width="11.5703125" style="1" customWidth="1"/>
    <col min="27" max="28" width="11" style="1"/>
    <col min="29" max="29" width="13" style="1" customWidth="1"/>
    <col min="30" max="30" width="14.5703125" style="1" customWidth="1"/>
    <col min="31" max="33" width="11" style="1"/>
    <col min="34" max="35" width="12.42578125" style="1" customWidth="1"/>
    <col min="36" max="38" width="11" style="1"/>
    <col min="39" max="39" width="39.7109375" style="1" customWidth="1"/>
    <col min="40" max="40" width="12.140625" style="1" customWidth="1"/>
    <col min="41" max="41" width="12.5703125" style="1" customWidth="1"/>
    <col min="42" max="44" width="11" style="1"/>
    <col min="45" max="45" width="13.42578125" style="1" customWidth="1"/>
    <col min="46" max="48" width="11" style="1"/>
    <col min="49" max="49" width="12" style="1" customWidth="1"/>
    <col min="50" max="50" width="12.140625" style="1" customWidth="1"/>
    <col min="51" max="52" width="11" style="1"/>
    <col min="53" max="53" width="33.42578125" style="1" customWidth="1"/>
    <col min="54" max="54" width="14.28515625" style="1" customWidth="1"/>
    <col min="55" max="55" width="18.140625" style="2" customWidth="1"/>
    <col min="56" max="56" width="17.140625" style="1" customWidth="1"/>
    <col min="57" max="57" width="15" style="1" customWidth="1"/>
    <col min="58" max="58" width="18.42578125" style="1" customWidth="1"/>
    <col min="59" max="59" width="18.28515625" style="1" customWidth="1"/>
    <col min="60" max="62" width="11" style="1"/>
    <col min="63" max="63" width="37.7109375" style="1" customWidth="1"/>
    <col min="64" max="64" width="7.28515625" style="1" customWidth="1"/>
    <col min="65" max="65" width="11" style="1"/>
    <col min="66" max="69" width="12.28515625" style="1" customWidth="1"/>
    <col min="70" max="70" width="12.85546875" style="1" customWidth="1"/>
    <col min="71" max="72" width="11" style="1"/>
    <col min="73" max="73" width="11.28515625" style="1" customWidth="1"/>
    <col min="74" max="74" width="41" style="1" customWidth="1"/>
    <col min="75" max="75" width="11" style="1"/>
    <col min="76" max="76" width="14.28515625" style="1" customWidth="1"/>
    <col min="77" max="77" width="11" style="1"/>
    <col min="78" max="78" width="12.42578125" style="1" customWidth="1"/>
    <col min="79" max="87" width="11" style="1"/>
    <col min="88" max="88" width="9.7109375" style="1" customWidth="1"/>
    <col min="89" max="89" width="30.5703125" style="1" customWidth="1"/>
    <col min="90" max="90" width="12.7109375" style="1" customWidth="1"/>
    <col min="91" max="91" width="13.28515625" style="1" customWidth="1"/>
    <col min="92" max="92" width="13.42578125" style="1" customWidth="1"/>
    <col min="93" max="93" width="12.85546875" style="1" customWidth="1"/>
    <col min="94" max="94" width="13.28515625" style="1" customWidth="1"/>
    <col min="95" max="95" width="13.140625" style="1" customWidth="1"/>
    <col min="96" max="96" width="12.85546875" style="1" customWidth="1"/>
    <col min="97" max="97" width="16.85546875" style="1" customWidth="1"/>
    <col min="98" max="98" width="18.85546875" style="1" customWidth="1"/>
    <col min="99" max="99" width="13.85546875" style="1" customWidth="1"/>
    <col min="100" max="100" width="12.85546875" style="1" customWidth="1"/>
    <col min="101" max="101" width="23.140625" style="1" customWidth="1"/>
    <col min="102" max="102" width="13.28515625" style="1" customWidth="1"/>
    <col min="103" max="103" width="11" style="1"/>
    <col min="104" max="104" width="29" style="1" customWidth="1"/>
    <col min="105" max="111" width="11" style="1"/>
  </cols>
  <sheetData>
    <row r="1" spans="2:111" ht="15.75" customHeight="1" thickBot="1" x14ac:dyDescent="0.25">
      <c r="B1" s="218" t="s">
        <v>0</v>
      </c>
      <c r="C1" s="218"/>
      <c r="D1" s="218"/>
      <c r="E1" s="218"/>
      <c r="F1" s="218"/>
      <c r="CT1" s="1" t="s">
        <v>1</v>
      </c>
    </row>
    <row r="2" spans="2:111" ht="15" customHeight="1" thickBot="1" x14ac:dyDescent="0.3">
      <c r="B2" s="219" t="s">
        <v>2</v>
      </c>
      <c r="C2" s="219"/>
      <c r="D2" s="219"/>
      <c r="E2" s="219"/>
      <c r="F2" s="219"/>
      <c r="L2" s="172" t="s">
        <v>3</v>
      </c>
      <c r="M2" s="172"/>
      <c r="N2" s="172"/>
      <c r="O2" s="172"/>
      <c r="P2" s="172"/>
      <c r="Q2" s="172"/>
      <c r="R2" s="172"/>
      <c r="S2" s="172"/>
      <c r="T2" s="172"/>
      <c r="U2" s="5"/>
      <c r="W2" s="206" t="s">
        <v>4</v>
      </c>
      <c r="X2" s="206"/>
      <c r="Y2" s="206"/>
      <c r="Z2" s="206"/>
      <c r="AA2" s="206"/>
      <c r="AB2" s="206"/>
      <c r="AC2" s="206"/>
      <c r="AD2" s="206"/>
      <c r="AE2" s="6"/>
      <c r="AF2" s="6"/>
      <c r="AG2" s="6"/>
      <c r="AH2" s="6"/>
      <c r="AI2" s="6"/>
      <c r="AJ2" s="5"/>
      <c r="AK2" s="5"/>
      <c r="AL2" s="206" t="s">
        <v>5</v>
      </c>
      <c r="AM2" s="206"/>
      <c r="AN2" s="206"/>
      <c r="AO2" s="206"/>
      <c r="AP2" s="206"/>
      <c r="AQ2" s="206"/>
      <c r="AR2" s="206"/>
      <c r="AS2" s="206"/>
      <c r="AT2" s="5"/>
      <c r="AU2" s="5"/>
      <c r="AV2" s="5"/>
      <c r="AW2" s="5"/>
      <c r="AX2" s="5"/>
      <c r="AY2" s="5"/>
      <c r="AZ2" s="5"/>
      <c r="BA2" s="172" t="s">
        <v>6</v>
      </c>
      <c r="BB2" s="172"/>
      <c r="BC2" s="172"/>
      <c r="BD2" s="172"/>
      <c r="BE2" s="172"/>
      <c r="BF2" s="172"/>
      <c r="BG2" s="172"/>
      <c r="BJ2" s="172" t="s">
        <v>7</v>
      </c>
      <c r="BK2" s="172"/>
      <c r="BL2" s="172"/>
      <c r="BM2" s="172"/>
      <c r="BN2" s="172"/>
      <c r="BO2" s="172"/>
      <c r="BP2" s="172"/>
      <c r="BQ2" s="172"/>
      <c r="BR2" s="172"/>
      <c r="CJ2" s="215" t="s">
        <v>8</v>
      </c>
      <c r="CK2" s="215"/>
      <c r="CL2" s="215"/>
      <c r="CM2" s="215"/>
      <c r="CN2" s="215"/>
      <c r="CO2" s="215"/>
      <c r="CP2" s="215"/>
      <c r="CQ2" s="215"/>
      <c r="CR2" s="215"/>
    </row>
    <row r="3" spans="2:111" ht="24" customHeight="1" thickBot="1" x14ac:dyDescent="0.3">
      <c r="B3" s="216" t="s">
        <v>9</v>
      </c>
      <c r="C3" s="216"/>
      <c r="D3" s="216"/>
      <c r="E3" s="216"/>
      <c r="F3" s="216"/>
      <c r="L3" s="5"/>
      <c r="M3" s="5" t="s">
        <v>10</v>
      </c>
      <c r="N3" s="5"/>
      <c r="O3" s="5"/>
      <c r="P3" s="5"/>
      <c r="Q3" s="5"/>
      <c r="R3" s="5"/>
      <c r="S3" s="5"/>
      <c r="T3" s="5"/>
      <c r="U3" s="5"/>
      <c r="W3" s="8"/>
      <c r="X3" s="5"/>
      <c r="Y3" s="5"/>
      <c r="Z3" s="9"/>
      <c r="AA3" s="9"/>
      <c r="AB3" s="5"/>
      <c r="AC3" s="5"/>
      <c r="AD3" s="5"/>
      <c r="AE3" s="5"/>
      <c r="AF3" s="5"/>
      <c r="AG3" s="5"/>
      <c r="AH3" s="5"/>
      <c r="AI3" s="5"/>
      <c r="AJ3" s="5"/>
      <c r="AK3" s="5"/>
      <c r="AL3" s="8"/>
      <c r="AM3" s="5"/>
      <c r="AN3" s="5"/>
      <c r="AO3" s="9"/>
      <c r="AP3" s="9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10"/>
      <c r="BD3" s="5"/>
      <c r="BE3" s="5"/>
      <c r="BF3" s="5"/>
      <c r="BG3" s="5"/>
      <c r="BJ3" s="5"/>
      <c r="BK3" s="5"/>
      <c r="BL3" s="5"/>
      <c r="BM3" s="5"/>
      <c r="BN3" s="5"/>
      <c r="BO3" s="5"/>
      <c r="BP3" s="5"/>
      <c r="BQ3" s="5"/>
      <c r="BR3" s="5"/>
      <c r="BU3" s="215" t="s">
        <v>11</v>
      </c>
      <c r="BV3" s="215"/>
      <c r="BW3" s="215"/>
      <c r="BX3" s="215"/>
      <c r="BY3" s="215"/>
      <c r="BZ3" s="215"/>
      <c r="CA3" s="215"/>
      <c r="CB3" s="215"/>
      <c r="CC3" s="215"/>
      <c r="CD3" s="5"/>
      <c r="CE3" s="5"/>
      <c r="CF3" s="5"/>
      <c r="CG3" s="5"/>
      <c r="CH3" s="5"/>
      <c r="CJ3" s="172" t="s">
        <v>12</v>
      </c>
      <c r="CK3" s="172"/>
      <c r="CL3" s="172"/>
      <c r="CM3" s="172"/>
      <c r="CN3" s="172"/>
      <c r="CO3" s="172"/>
      <c r="CP3" s="172"/>
      <c r="CQ3" s="172"/>
      <c r="CR3" s="172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</row>
    <row r="4" spans="2:111" ht="42.75" customHeight="1" thickBot="1" x14ac:dyDescent="0.3">
      <c r="B4" s="11" t="s">
        <v>13</v>
      </c>
      <c r="C4" s="217" t="s">
        <v>150</v>
      </c>
      <c r="D4" s="217"/>
      <c r="E4" s="12" t="s">
        <v>14</v>
      </c>
      <c r="F4" s="13"/>
      <c r="L4" s="174" t="s">
        <v>15</v>
      </c>
      <c r="M4" s="175" t="s">
        <v>16</v>
      </c>
      <c r="N4" s="175" t="s">
        <v>17</v>
      </c>
      <c r="O4" s="14" t="s">
        <v>18</v>
      </c>
      <c r="P4" s="175" t="s">
        <v>19</v>
      </c>
      <c r="Q4" s="175"/>
      <c r="R4" s="175" t="s">
        <v>20</v>
      </c>
      <c r="S4" s="175"/>
      <c r="T4" s="178" t="s">
        <v>21</v>
      </c>
      <c r="U4" s="5"/>
      <c r="W4" s="15" t="s">
        <v>22</v>
      </c>
      <c r="X4" s="16" t="s">
        <v>23</v>
      </c>
      <c r="Y4" s="17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8" t="s">
        <v>29</v>
      </c>
      <c r="AE4" s="5"/>
      <c r="AF4" s="19"/>
      <c r="AG4" s="5"/>
      <c r="AH4" s="19"/>
      <c r="AI4" s="5"/>
      <c r="AJ4" s="5"/>
      <c r="AK4" s="5"/>
      <c r="AL4" s="15" t="s">
        <v>22</v>
      </c>
      <c r="AM4" s="16" t="s">
        <v>23</v>
      </c>
      <c r="AN4" s="17" t="s">
        <v>24</v>
      </c>
      <c r="AO4" s="20" t="s">
        <v>30</v>
      </c>
      <c r="AP4" s="16" t="s">
        <v>26</v>
      </c>
      <c r="AQ4" s="16" t="s">
        <v>27</v>
      </c>
      <c r="AR4" s="16" t="s">
        <v>28</v>
      </c>
      <c r="AS4" s="18" t="s">
        <v>29</v>
      </c>
      <c r="AT4" s="5"/>
      <c r="AU4" s="5"/>
      <c r="AV4" s="5"/>
      <c r="AW4" s="5"/>
      <c r="AX4" s="5"/>
      <c r="AY4" s="5"/>
      <c r="AZ4" s="5"/>
      <c r="BA4" s="21" t="s">
        <v>31</v>
      </c>
      <c r="BB4" s="22" t="s">
        <v>32</v>
      </c>
      <c r="BC4" s="23" t="s">
        <v>33</v>
      </c>
      <c r="BD4" s="23" t="s">
        <v>34</v>
      </c>
      <c r="BE4" s="23" t="s">
        <v>35</v>
      </c>
      <c r="BF4" s="23" t="s">
        <v>36</v>
      </c>
      <c r="BG4" s="24" t="s">
        <v>37</v>
      </c>
      <c r="BJ4" s="200" t="s">
        <v>38</v>
      </c>
      <c r="BK4" s="201" t="s">
        <v>16</v>
      </c>
      <c r="BL4" s="201" t="s">
        <v>17</v>
      </c>
      <c r="BM4" s="25" t="s">
        <v>18</v>
      </c>
      <c r="BN4" s="201" t="s">
        <v>19</v>
      </c>
      <c r="BO4" s="201"/>
      <c r="BP4" s="201" t="s">
        <v>20</v>
      </c>
      <c r="BQ4" s="201"/>
      <c r="BR4" s="203" t="s">
        <v>21</v>
      </c>
      <c r="BU4" s="172" t="s">
        <v>12</v>
      </c>
      <c r="BV4" s="172"/>
      <c r="BW4" s="172"/>
      <c r="BX4" s="172"/>
      <c r="BY4" s="172"/>
      <c r="BZ4" s="172"/>
      <c r="CA4" s="172"/>
      <c r="CB4" s="172"/>
      <c r="CC4" s="172"/>
      <c r="CD4" s="5"/>
      <c r="CE4" s="5"/>
      <c r="CF4" s="5"/>
      <c r="CG4" s="5"/>
      <c r="CH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26" t="s">
        <v>39</v>
      </c>
      <c r="CU4" s="27"/>
      <c r="CW4" s="28" t="s">
        <v>40</v>
      </c>
      <c r="CX4" s="27"/>
      <c r="CZ4" s="28" t="s">
        <v>41</v>
      </c>
      <c r="DA4" s="29"/>
      <c r="DB4" s="5"/>
      <c r="DC4" s="5"/>
      <c r="DD4" s="5"/>
      <c r="DE4" s="5"/>
      <c r="DF4" s="5"/>
      <c r="DG4" s="5"/>
    </row>
    <row r="5" spans="2:111" ht="15" customHeight="1" thickBot="1" x14ac:dyDescent="0.3">
      <c r="B5" s="11" t="s">
        <v>151</v>
      </c>
      <c r="C5" s="12"/>
      <c r="D5" s="12" t="s">
        <v>42</v>
      </c>
      <c r="E5" s="30"/>
      <c r="F5" s="13"/>
      <c r="L5" s="174"/>
      <c r="M5" s="175"/>
      <c r="N5" s="175"/>
      <c r="O5" s="31" t="s">
        <v>43</v>
      </c>
      <c r="P5" s="31" t="s">
        <v>44</v>
      </c>
      <c r="Q5" s="31" t="s">
        <v>45</v>
      </c>
      <c r="R5" s="31" t="s">
        <v>44</v>
      </c>
      <c r="S5" s="31" t="s">
        <v>45</v>
      </c>
      <c r="T5" s="178"/>
      <c r="U5" s="5"/>
      <c r="W5" s="32"/>
      <c r="X5" s="33"/>
      <c r="Y5" s="34"/>
      <c r="Z5" s="35"/>
      <c r="AA5" s="36"/>
      <c r="AB5" s="37"/>
      <c r="AC5" s="36"/>
      <c r="AD5" s="38"/>
      <c r="AE5" s="5"/>
      <c r="AF5" s="5"/>
      <c r="AG5" s="10"/>
      <c r="AH5" s="214"/>
      <c r="AI5" s="214"/>
      <c r="AJ5" s="5" t="s">
        <v>46</v>
      </c>
      <c r="AK5" s="5"/>
      <c r="AL5" s="32"/>
      <c r="AM5" s="33"/>
      <c r="AN5" s="34"/>
      <c r="AO5" s="35"/>
      <c r="AP5" s="36"/>
      <c r="AQ5" s="37"/>
      <c r="AR5" s="36"/>
      <c r="AS5" s="38"/>
      <c r="AT5" s="5"/>
      <c r="AU5" s="5"/>
      <c r="AV5" s="5"/>
      <c r="AW5" s="5"/>
      <c r="AX5" s="5"/>
      <c r="AY5" s="5"/>
      <c r="AZ5" s="5"/>
      <c r="BA5" s="40" t="s">
        <v>47</v>
      </c>
      <c r="BB5" s="41">
        <v>5</v>
      </c>
      <c r="BC5" s="42" t="s">
        <v>48</v>
      </c>
      <c r="BD5" s="35">
        <v>2660</v>
      </c>
      <c r="BE5" s="43">
        <f t="shared" ref="BE5:BE35" si="0">BD5/190.6</f>
        <v>13.955928646379853</v>
      </c>
      <c r="BF5" s="35">
        <v>8</v>
      </c>
      <c r="BG5" s="44">
        <f t="shared" ref="BG5:BG35" si="1">BE5*BF5*BB5</f>
        <v>558.23714585519406</v>
      </c>
      <c r="BJ5" s="200"/>
      <c r="BK5" s="201"/>
      <c r="BL5" s="201"/>
      <c r="BM5" s="45" t="s">
        <v>43</v>
      </c>
      <c r="BN5" s="45" t="s">
        <v>44</v>
      </c>
      <c r="BO5" s="45" t="s">
        <v>45</v>
      </c>
      <c r="BP5" s="45" t="s">
        <v>44</v>
      </c>
      <c r="BQ5" s="45" t="s">
        <v>45</v>
      </c>
      <c r="BR5" s="203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J5" s="213" t="s">
        <v>15</v>
      </c>
      <c r="CK5" s="212" t="s">
        <v>23</v>
      </c>
      <c r="CL5" s="212" t="s">
        <v>49</v>
      </c>
      <c r="CM5" s="212" t="s">
        <v>43</v>
      </c>
      <c r="CN5" s="197" t="s">
        <v>19</v>
      </c>
      <c r="CO5" s="197"/>
      <c r="CP5" s="198" t="s">
        <v>20</v>
      </c>
      <c r="CQ5" s="198"/>
      <c r="CR5" s="198"/>
      <c r="CS5" s="46"/>
      <c r="CT5" s="28"/>
      <c r="CU5" s="47"/>
      <c r="CW5" s="28"/>
      <c r="CX5" s="47"/>
      <c r="CZ5" s="28"/>
      <c r="DA5" s="28"/>
      <c r="DB5" s="46"/>
      <c r="DC5" s="46"/>
      <c r="DD5" s="46"/>
      <c r="DE5" s="46"/>
      <c r="DF5" s="46"/>
      <c r="DG5" s="46"/>
    </row>
    <row r="6" spans="2:111" ht="15" customHeight="1" thickBot="1" x14ac:dyDescent="0.3">
      <c r="B6" s="48" t="s">
        <v>50</v>
      </c>
      <c r="C6" s="210"/>
      <c r="D6" s="210"/>
      <c r="E6" s="210"/>
      <c r="F6" s="210"/>
      <c r="L6" s="40"/>
      <c r="M6" s="49" t="s">
        <v>146</v>
      </c>
      <c r="N6" s="42" t="s">
        <v>51</v>
      </c>
      <c r="O6" s="42">
        <v>15</v>
      </c>
      <c r="P6" s="1">
        <v>3200</v>
      </c>
      <c r="Q6" s="35"/>
      <c r="R6" s="50">
        <f>O6*P6</f>
        <v>48000</v>
      </c>
      <c r="S6" s="50">
        <f>O6*Q6</f>
        <v>0</v>
      </c>
      <c r="T6" s="51">
        <f t="shared" ref="T6:T13" si="2">(R6+S6)</f>
        <v>48000</v>
      </c>
      <c r="U6" s="5"/>
      <c r="W6" s="32"/>
      <c r="X6" s="33"/>
      <c r="Y6" s="34"/>
      <c r="Z6" s="35"/>
      <c r="AA6" s="52"/>
      <c r="AB6" s="37"/>
      <c r="AC6" s="36"/>
      <c r="AD6" s="38"/>
      <c r="AE6" s="5"/>
      <c r="AF6" s="5"/>
      <c r="AG6" s="10"/>
      <c r="AH6" s="39"/>
      <c r="AI6" s="4"/>
      <c r="AJ6" s="5"/>
      <c r="AK6" s="5"/>
      <c r="AL6" s="32"/>
      <c r="AM6" s="33"/>
      <c r="AN6" s="34"/>
      <c r="AO6" s="35"/>
      <c r="AP6" s="36"/>
      <c r="AQ6" s="37"/>
      <c r="AR6" s="36"/>
      <c r="AS6" s="38"/>
      <c r="AT6" s="5"/>
      <c r="AU6" s="5"/>
      <c r="AV6" s="5"/>
      <c r="AW6" s="5"/>
      <c r="AX6" s="5"/>
      <c r="AY6" s="5"/>
      <c r="AZ6" s="5"/>
      <c r="BA6" s="40" t="s">
        <v>47</v>
      </c>
      <c r="BB6" s="41">
        <v>1</v>
      </c>
      <c r="BC6" s="42" t="s">
        <v>52</v>
      </c>
      <c r="BD6" s="35">
        <v>2810</v>
      </c>
      <c r="BE6" s="43">
        <f t="shared" si="0"/>
        <v>14.742917103882476</v>
      </c>
      <c r="BF6" s="35">
        <v>8</v>
      </c>
      <c r="BG6" s="44">
        <f t="shared" si="1"/>
        <v>117.94333683105981</v>
      </c>
      <c r="BJ6" s="40"/>
      <c r="BK6" s="49"/>
      <c r="BL6" s="42"/>
      <c r="BM6" s="42"/>
      <c r="BN6" s="35"/>
      <c r="BO6" s="35"/>
      <c r="BP6" s="53">
        <f t="shared" ref="BP6:BP30" si="3">BM6*BN6</f>
        <v>0</v>
      </c>
      <c r="BQ6" s="53">
        <f t="shared" ref="BQ6:BQ30" si="4">BM6*BO6</f>
        <v>0</v>
      </c>
      <c r="BR6" s="44">
        <f t="shared" ref="BR6:BR30" si="5">BP6+BQ6</f>
        <v>0</v>
      </c>
      <c r="BU6" s="213" t="s">
        <v>15</v>
      </c>
      <c r="BV6" s="212" t="s">
        <v>23</v>
      </c>
      <c r="BW6" s="212" t="s">
        <v>49</v>
      </c>
      <c r="BX6" s="212" t="s">
        <v>43</v>
      </c>
      <c r="BY6" s="197" t="s">
        <v>19</v>
      </c>
      <c r="BZ6" s="197"/>
      <c r="CA6" s="198" t="s">
        <v>20</v>
      </c>
      <c r="CB6" s="198"/>
      <c r="CC6" s="198"/>
      <c r="CD6" s="46"/>
      <c r="CE6" s="46"/>
      <c r="CF6" s="46"/>
      <c r="CG6" s="46"/>
      <c r="CH6" s="46"/>
      <c r="CJ6" s="213"/>
      <c r="CK6" s="212"/>
      <c r="CL6" s="212"/>
      <c r="CM6" s="212"/>
      <c r="CN6" s="54" t="s">
        <v>44</v>
      </c>
      <c r="CO6" s="54" t="s">
        <v>45</v>
      </c>
      <c r="CP6" s="54" t="s">
        <v>44</v>
      </c>
      <c r="CQ6" s="54" t="s">
        <v>45</v>
      </c>
      <c r="CR6" s="55" t="s">
        <v>21</v>
      </c>
      <c r="CS6" s="46"/>
      <c r="CT6" s="207" t="s">
        <v>53</v>
      </c>
      <c r="CU6" s="207"/>
      <c r="CW6" s="207" t="s">
        <v>53</v>
      </c>
      <c r="CX6" s="207"/>
      <c r="CZ6" s="207" t="s">
        <v>53</v>
      </c>
      <c r="DA6" s="207"/>
      <c r="DB6" s="46"/>
      <c r="DC6" s="46"/>
      <c r="DD6" s="46"/>
      <c r="DE6" s="46"/>
      <c r="DF6" s="46"/>
      <c r="DG6" s="46"/>
    </row>
    <row r="7" spans="2:111" ht="15" customHeight="1" thickBot="1" x14ac:dyDescent="0.3">
      <c r="B7" s="11" t="s">
        <v>54</v>
      </c>
      <c r="C7" s="208" t="s">
        <v>157</v>
      </c>
      <c r="D7" s="208"/>
      <c r="E7" s="208"/>
      <c r="F7" s="208"/>
      <c r="L7" s="40"/>
      <c r="M7" s="49" t="s">
        <v>149</v>
      </c>
      <c r="N7" s="42" t="s">
        <v>51</v>
      </c>
      <c r="O7" s="42">
        <v>236</v>
      </c>
      <c r="P7" s="35">
        <v>1000</v>
      </c>
      <c r="Q7" s="35"/>
      <c r="R7" s="50">
        <f>O7*P7</f>
        <v>236000</v>
      </c>
      <c r="S7" s="50">
        <f>O7*Q7</f>
        <v>0</v>
      </c>
      <c r="T7" s="51">
        <f t="shared" si="2"/>
        <v>236000</v>
      </c>
      <c r="U7" s="5"/>
      <c r="W7" s="56"/>
      <c r="X7" s="57"/>
      <c r="Y7" s="35"/>
      <c r="Z7" s="35"/>
      <c r="AA7" s="36"/>
      <c r="AB7" s="37"/>
      <c r="AC7" s="36"/>
      <c r="AD7" s="38"/>
      <c r="AE7" s="5"/>
      <c r="AF7" s="5"/>
      <c r="AG7" s="10"/>
      <c r="AH7" s="58"/>
      <c r="AI7" s="59"/>
      <c r="AJ7" s="5"/>
      <c r="AK7" s="5"/>
      <c r="AL7" s="56"/>
      <c r="AM7" s="57"/>
      <c r="AN7" s="35"/>
      <c r="AO7" s="35"/>
      <c r="AP7" s="36"/>
      <c r="AQ7" s="37"/>
      <c r="AR7" s="36"/>
      <c r="AS7" s="38"/>
      <c r="AT7" s="5"/>
      <c r="AU7" s="5"/>
      <c r="AV7" s="5"/>
      <c r="AW7" s="5"/>
      <c r="AX7" s="5"/>
      <c r="AY7" s="5"/>
      <c r="AZ7" s="5"/>
      <c r="BA7" s="40" t="s">
        <v>55</v>
      </c>
      <c r="BB7" s="41">
        <v>2</v>
      </c>
      <c r="BC7" s="42" t="s">
        <v>56</v>
      </c>
      <c r="BD7" s="35">
        <v>2660</v>
      </c>
      <c r="BE7" s="43">
        <f t="shared" si="0"/>
        <v>13.955928646379853</v>
      </c>
      <c r="BF7" s="35">
        <v>8</v>
      </c>
      <c r="BG7" s="44">
        <f t="shared" si="1"/>
        <v>223.29485834207765</v>
      </c>
      <c r="BJ7" s="40"/>
      <c r="BK7" s="49"/>
      <c r="BL7" s="42"/>
      <c r="BM7" s="42"/>
      <c r="BN7" s="35"/>
      <c r="BO7" s="35"/>
      <c r="BP7" s="53">
        <f t="shared" si="3"/>
        <v>0</v>
      </c>
      <c r="BQ7" s="53">
        <f t="shared" si="4"/>
        <v>0</v>
      </c>
      <c r="BR7" s="44">
        <f t="shared" si="5"/>
        <v>0</v>
      </c>
      <c r="BU7" s="213"/>
      <c r="BV7" s="212"/>
      <c r="BW7" s="212"/>
      <c r="BX7" s="212"/>
      <c r="BY7" s="54" t="s">
        <v>44</v>
      </c>
      <c r="BZ7" s="54" t="s">
        <v>45</v>
      </c>
      <c r="CA7" s="54" t="s">
        <v>44</v>
      </c>
      <c r="CB7" s="54" t="s">
        <v>45</v>
      </c>
      <c r="CC7" s="55" t="s">
        <v>21</v>
      </c>
      <c r="CD7" s="46"/>
      <c r="CE7" s="46"/>
      <c r="CF7" s="46"/>
      <c r="CG7" s="46"/>
      <c r="CH7" s="46"/>
      <c r="CJ7" s="40"/>
      <c r="CK7" s="57" t="s">
        <v>57</v>
      </c>
      <c r="CL7" s="57" t="s">
        <v>58</v>
      </c>
      <c r="CM7" s="57">
        <v>56</v>
      </c>
      <c r="CN7" s="35">
        <v>25</v>
      </c>
      <c r="CO7" s="35"/>
      <c r="CP7" s="60">
        <f t="shared" ref="CP7:CP13" si="6">CM7*CN7</f>
        <v>1400</v>
      </c>
      <c r="CQ7" s="60">
        <f t="shared" ref="CQ7:CQ13" si="7">CM7*CO7</f>
        <v>0</v>
      </c>
      <c r="CR7" s="61">
        <f t="shared" ref="CR7:CR13" si="8">CP7+CQ7</f>
        <v>1400</v>
      </c>
      <c r="CS7" s="5"/>
      <c r="CT7" s="26" t="s">
        <v>1</v>
      </c>
      <c r="CU7" s="62"/>
      <c r="CW7" s="26" t="s">
        <v>1</v>
      </c>
      <c r="CX7" s="63"/>
      <c r="CZ7" s="26" t="s">
        <v>1</v>
      </c>
      <c r="DA7" s="63"/>
      <c r="DB7" s="5"/>
      <c r="DC7" s="5"/>
      <c r="DD7" s="5"/>
      <c r="DE7" s="5"/>
      <c r="DF7" s="5"/>
      <c r="DG7" s="5"/>
    </row>
    <row r="8" spans="2:111" ht="15" customHeight="1" thickBot="1" x14ac:dyDescent="0.25">
      <c r="B8" s="209" t="s">
        <v>59</v>
      </c>
      <c r="C8" s="209"/>
      <c r="D8" s="209"/>
      <c r="E8" s="209"/>
      <c r="F8" s="209"/>
      <c r="L8" s="40"/>
      <c r="M8" s="49" t="s">
        <v>60</v>
      </c>
      <c r="N8" s="42" t="s">
        <v>51</v>
      </c>
      <c r="O8" s="42">
        <v>442.01</v>
      </c>
      <c r="P8" s="35">
        <v>260</v>
      </c>
      <c r="Q8" s="35"/>
      <c r="R8" s="50">
        <f>O8*P8</f>
        <v>114922.59999999999</v>
      </c>
      <c r="S8" s="50">
        <f>O8*Q8</f>
        <v>0</v>
      </c>
      <c r="T8" s="51">
        <f t="shared" si="2"/>
        <v>114922.59999999999</v>
      </c>
      <c r="U8" s="5"/>
      <c r="W8" s="56"/>
      <c r="X8" s="57"/>
      <c r="Y8" s="35"/>
      <c r="Z8" s="35"/>
      <c r="AA8" s="36"/>
      <c r="AB8" s="37"/>
      <c r="AC8" s="36"/>
      <c r="AD8" s="38"/>
      <c r="AE8" s="5"/>
      <c r="AF8" s="5"/>
      <c r="AG8" s="10"/>
      <c r="AH8" s="64"/>
      <c r="AI8" s="5"/>
      <c r="AJ8" s="5"/>
      <c r="AK8" s="5"/>
      <c r="AL8" s="56"/>
      <c r="AM8" s="57"/>
      <c r="AN8" s="35"/>
      <c r="AO8" s="35"/>
      <c r="AP8" s="36"/>
      <c r="AQ8" s="37"/>
      <c r="AR8" s="36"/>
      <c r="AS8" s="38"/>
      <c r="AT8" s="5"/>
      <c r="AU8" s="5"/>
      <c r="AV8" s="5"/>
      <c r="AW8" s="5"/>
      <c r="AX8" s="5"/>
      <c r="AY8" s="5"/>
      <c r="AZ8" s="5"/>
      <c r="BA8" s="40"/>
      <c r="BB8" s="41"/>
      <c r="BC8" s="42"/>
      <c r="BD8" s="35"/>
      <c r="BE8" s="43">
        <f t="shared" si="0"/>
        <v>0</v>
      </c>
      <c r="BF8" s="35"/>
      <c r="BG8" s="44">
        <f t="shared" si="1"/>
        <v>0</v>
      </c>
      <c r="BJ8" s="40"/>
      <c r="BK8" s="49"/>
      <c r="BL8" s="42"/>
      <c r="BM8" s="42"/>
      <c r="BN8" s="35"/>
      <c r="BO8" s="35"/>
      <c r="BP8" s="53">
        <f t="shared" si="3"/>
        <v>0</v>
      </c>
      <c r="BQ8" s="53">
        <f t="shared" si="4"/>
        <v>0</v>
      </c>
      <c r="BR8" s="44">
        <f t="shared" si="5"/>
        <v>0</v>
      </c>
      <c r="BU8" s="40"/>
      <c r="BV8" s="57"/>
      <c r="BW8" s="57"/>
      <c r="BX8" s="57"/>
      <c r="BY8" s="35"/>
      <c r="BZ8" s="35"/>
      <c r="CA8" s="60">
        <f t="shared" ref="CA8:CA14" si="9">BX8*BY8</f>
        <v>0</v>
      </c>
      <c r="CB8" s="60">
        <f t="shared" ref="CB8:CB14" si="10">BX8*BZ8</f>
        <v>0</v>
      </c>
      <c r="CC8" s="61">
        <f t="shared" ref="CC8:CC14" si="11">CA8+CB8</f>
        <v>0</v>
      </c>
      <c r="CD8" s="5"/>
      <c r="CE8" s="5"/>
      <c r="CF8" s="5"/>
      <c r="CG8" s="5"/>
      <c r="CH8" s="5"/>
      <c r="CJ8" s="40"/>
      <c r="CK8" s="57"/>
      <c r="CL8" s="57"/>
      <c r="CM8" s="57"/>
      <c r="CN8" s="35"/>
      <c r="CO8" s="35"/>
      <c r="CP8" s="60">
        <f t="shared" si="6"/>
        <v>0</v>
      </c>
      <c r="CQ8" s="60">
        <f t="shared" si="7"/>
        <v>0</v>
      </c>
      <c r="CR8" s="61">
        <f t="shared" si="8"/>
        <v>0</v>
      </c>
      <c r="CS8" s="5"/>
      <c r="CT8" s="26" t="s">
        <v>61</v>
      </c>
      <c r="CU8" s="63"/>
      <c r="CW8" s="28"/>
      <c r="CX8" s="63"/>
      <c r="CZ8" s="28"/>
      <c r="DA8" s="47"/>
      <c r="DB8" s="5"/>
      <c r="DC8" s="5"/>
      <c r="DD8" s="5"/>
      <c r="DE8" s="5"/>
      <c r="DF8" s="5"/>
      <c r="DG8" s="5"/>
    </row>
    <row r="9" spans="2:111" ht="15" customHeight="1" thickBot="1" x14ac:dyDescent="0.3">
      <c r="B9" s="210"/>
      <c r="C9" s="210"/>
      <c r="D9" s="211"/>
      <c r="E9" s="211"/>
      <c r="F9" s="211"/>
      <c r="L9" s="40"/>
      <c r="M9" s="49" t="s">
        <v>62</v>
      </c>
      <c r="N9" s="42" t="s">
        <v>51</v>
      </c>
      <c r="O9" s="42">
        <v>16.010000000000002</v>
      </c>
      <c r="P9" s="35">
        <v>80</v>
      </c>
      <c r="Q9" s="35"/>
      <c r="R9" s="50">
        <f>O9*P9</f>
        <v>1280.8000000000002</v>
      </c>
      <c r="S9" s="50">
        <f>O9*Q9</f>
        <v>0</v>
      </c>
      <c r="T9" s="51">
        <f t="shared" si="2"/>
        <v>1280.8000000000002</v>
      </c>
      <c r="U9" s="5"/>
      <c r="W9" s="56"/>
      <c r="X9" s="57"/>
      <c r="Y9" s="35"/>
      <c r="Z9" s="35"/>
      <c r="AA9" s="36"/>
      <c r="AB9" s="37"/>
      <c r="AC9" s="36"/>
      <c r="AD9" s="38"/>
      <c r="AE9" s="5"/>
      <c r="AF9" s="5"/>
      <c r="AG9" s="10"/>
      <c r="AH9" s="64"/>
      <c r="AI9" s="5"/>
      <c r="AJ9" s="5"/>
      <c r="AK9" s="5"/>
      <c r="AL9" s="56"/>
      <c r="AM9" s="57"/>
      <c r="AN9" s="35"/>
      <c r="AO9" s="35"/>
      <c r="AP9" s="36"/>
      <c r="AQ9" s="37"/>
      <c r="AR9" s="36"/>
      <c r="AS9" s="38"/>
      <c r="AT9" s="5"/>
      <c r="AU9" s="5"/>
      <c r="AV9" s="5"/>
      <c r="AW9" s="5"/>
      <c r="AX9" s="5"/>
      <c r="AY9" s="5"/>
      <c r="AZ9" s="5"/>
      <c r="BA9" s="40"/>
      <c r="BB9" s="41"/>
      <c r="BC9" s="42"/>
      <c r="BD9" s="35"/>
      <c r="BE9" s="43">
        <f t="shared" si="0"/>
        <v>0</v>
      </c>
      <c r="BF9" s="35"/>
      <c r="BG9" s="44">
        <f t="shared" si="1"/>
        <v>0</v>
      </c>
      <c r="BJ9" s="40"/>
      <c r="BK9" s="65"/>
      <c r="BL9" s="42"/>
      <c r="BM9" s="42"/>
      <c r="BN9" s="35"/>
      <c r="BO9" s="35"/>
      <c r="BP9" s="53">
        <f t="shared" si="3"/>
        <v>0</v>
      </c>
      <c r="BQ9" s="53">
        <f t="shared" si="4"/>
        <v>0</v>
      </c>
      <c r="BR9" s="44">
        <f t="shared" si="5"/>
        <v>0</v>
      </c>
      <c r="BU9" s="40"/>
      <c r="BV9" s="57"/>
      <c r="BW9" s="57"/>
      <c r="BX9" s="57"/>
      <c r="BY9" s="35"/>
      <c r="BZ9" s="35"/>
      <c r="CA9" s="60">
        <f t="shared" si="9"/>
        <v>0</v>
      </c>
      <c r="CB9" s="60">
        <f t="shared" si="10"/>
        <v>0</v>
      </c>
      <c r="CC9" s="61">
        <f t="shared" si="11"/>
        <v>0</v>
      </c>
      <c r="CD9" s="5"/>
      <c r="CE9" s="5"/>
      <c r="CF9" s="5"/>
      <c r="CG9" s="5"/>
      <c r="CH9" s="5"/>
      <c r="CJ9" s="40"/>
      <c r="CK9" s="57"/>
      <c r="CL9" s="57"/>
      <c r="CM9" s="57"/>
      <c r="CN9" s="35"/>
      <c r="CO9" s="35"/>
      <c r="CP9" s="60">
        <f t="shared" si="6"/>
        <v>0</v>
      </c>
      <c r="CQ9" s="60">
        <f t="shared" si="7"/>
        <v>0</v>
      </c>
      <c r="CR9" s="61">
        <f t="shared" si="8"/>
        <v>0</v>
      </c>
      <c r="CS9" s="5"/>
      <c r="CT9" s="26" t="s">
        <v>63</v>
      </c>
      <c r="CU9" s="63"/>
      <c r="CW9" s="28"/>
      <c r="CX9" s="63"/>
      <c r="CZ9" s="28"/>
      <c r="DA9" s="47"/>
      <c r="DB9" s="5"/>
      <c r="DC9" s="5"/>
      <c r="DD9" s="5"/>
      <c r="DE9" s="5"/>
      <c r="DF9" s="5"/>
      <c r="DG9" s="5"/>
    </row>
    <row r="10" spans="2:111" ht="15" customHeight="1" thickBot="1" x14ac:dyDescent="0.25">
      <c r="B10" s="204" t="s">
        <v>64</v>
      </c>
      <c r="C10" s="204"/>
      <c r="D10" s="66">
        <v>3120</v>
      </c>
      <c r="E10" s="205" t="s">
        <v>148</v>
      </c>
      <c r="F10" s="205"/>
      <c r="L10" s="40"/>
      <c r="M10" s="49" t="s">
        <v>147</v>
      </c>
      <c r="N10" s="42" t="s">
        <v>51</v>
      </c>
      <c r="O10" s="42">
        <v>70.099999999999994</v>
      </c>
      <c r="P10" s="35">
        <v>820</v>
      </c>
      <c r="Q10" s="35"/>
      <c r="R10" s="50">
        <f>O9*P9</f>
        <v>1280.8000000000002</v>
      </c>
      <c r="S10" s="50">
        <f>O9*Q10</f>
        <v>0</v>
      </c>
      <c r="T10" s="51">
        <f t="shared" si="2"/>
        <v>1280.8000000000002</v>
      </c>
      <c r="U10" s="5"/>
      <c r="W10" s="56"/>
      <c r="X10" s="57"/>
      <c r="Y10" s="35"/>
      <c r="Z10" s="35"/>
      <c r="AA10" s="36"/>
      <c r="AB10" s="37"/>
      <c r="AC10" s="36"/>
      <c r="AD10" s="38"/>
      <c r="AE10" s="5"/>
      <c r="AF10" s="5"/>
      <c r="AG10" s="10"/>
      <c r="AH10" s="64"/>
      <c r="AI10" s="5"/>
      <c r="AJ10" s="5"/>
      <c r="AK10" s="5"/>
      <c r="AL10" s="56"/>
      <c r="AM10" s="57"/>
      <c r="AN10" s="35"/>
      <c r="AO10" s="35"/>
      <c r="AP10" s="36"/>
      <c r="AQ10" s="37"/>
      <c r="AR10" s="36"/>
      <c r="AS10" s="38"/>
      <c r="AT10" s="5"/>
      <c r="AU10" s="5"/>
      <c r="AV10" s="5"/>
      <c r="AW10" s="5"/>
      <c r="AX10" s="5"/>
      <c r="AY10" s="5"/>
      <c r="AZ10" s="5"/>
      <c r="BA10" s="40"/>
      <c r="BB10" s="41"/>
      <c r="BC10" s="42"/>
      <c r="BD10" s="35"/>
      <c r="BE10" s="43">
        <f t="shared" si="0"/>
        <v>0</v>
      </c>
      <c r="BF10" s="35"/>
      <c r="BG10" s="44">
        <f t="shared" si="1"/>
        <v>0</v>
      </c>
      <c r="BJ10" s="40"/>
      <c r="BK10" s="49"/>
      <c r="BL10" s="42"/>
      <c r="BM10" s="42"/>
      <c r="BN10" s="35"/>
      <c r="BO10" s="35"/>
      <c r="BP10" s="53">
        <f t="shared" si="3"/>
        <v>0</v>
      </c>
      <c r="BQ10" s="53">
        <f t="shared" si="4"/>
        <v>0</v>
      </c>
      <c r="BR10" s="44">
        <f t="shared" si="5"/>
        <v>0</v>
      </c>
      <c r="BU10" s="40"/>
      <c r="BV10" s="57"/>
      <c r="BW10" s="57"/>
      <c r="BX10" s="57"/>
      <c r="BY10" s="35"/>
      <c r="BZ10" s="35"/>
      <c r="CA10" s="60">
        <f t="shared" si="9"/>
        <v>0</v>
      </c>
      <c r="CB10" s="60">
        <f t="shared" si="10"/>
        <v>0</v>
      </c>
      <c r="CC10" s="61">
        <f t="shared" si="11"/>
        <v>0</v>
      </c>
      <c r="CD10" s="5"/>
      <c r="CE10" s="5"/>
      <c r="CF10" s="5"/>
      <c r="CG10" s="5"/>
      <c r="CH10" s="5"/>
      <c r="CJ10" s="40"/>
      <c r="CK10" s="57"/>
      <c r="CL10" s="57"/>
      <c r="CM10" s="57"/>
      <c r="CN10" s="35"/>
      <c r="CO10" s="35"/>
      <c r="CP10" s="60">
        <f t="shared" si="6"/>
        <v>0</v>
      </c>
      <c r="CQ10" s="60">
        <f t="shared" si="7"/>
        <v>0</v>
      </c>
      <c r="CR10" s="61">
        <f t="shared" si="8"/>
        <v>0</v>
      </c>
      <c r="CS10" s="5"/>
      <c r="CT10" s="26" t="s">
        <v>65</v>
      </c>
      <c r="CU10" s="63">
        <f>SUM(CU7:CU9)</f>
        <v>0</v>
      </c>
      <c r="CW10" s="26" t="s">
        <v>65</v>
      </c>
      <c r="CX10" s="63">
        <f>SUM(CX7:CX9)</f>
        <v>0</v>
      </c>
      <c r="CZ10" s="26" t="s">
        <v>65</v>
      </c>
      <c r="DA10" s="63">
        <f>SUM(DA7:DA9)</f>
        <v>0</v>
      </c>
      <c r="DB10" s="5"/>
      <c r="DC10" s="5"/>
      <c r="DD10" s="5"/>
      <c r="DE10" s="5"/>
      <c r="DF10" s="5"/>
      <c r="DG10" s="5"/>
    </row>
    <row r="11" spans="2:111" ht="29.85" customHeight="1" thickBot="1" x14ac:dyDescent="0.25">
      <c r="B11" s="7" t="s">
        <v>66</v>
      </c>
      <c r="C11" s="67" t="s">
        <v>67</v>
      </c>
      <c r="D11" s="3" t="s">
        <v>68</v>
      </c>
      <c r="E11" s="67" t="s">
        <v>69</v>
      </c>
      <c r="F11" s="67" t="s">
        <v>70</v>
      </c>
      <c r="L11" s="40"/>
      <c r="M11" s="49" t="s">
        <v>156</v>
      </c>
      <c r="N11" s="42" t="s">
        <v>51</v>
      </c>
      <c r="O11" s="42">
        <v>70.010000000000005</v>
      </c>
      <c r="P11" s="35">
        <v>1700</v>
      </c>
      <c r="Q11" s="35"/>
      <c r="R11" s="50">
        <f>O11*P11</f>
        <v>119017.00000000001</v>
      </c>
      <c r="S11" s="50">
        <f>O11*Q11</f>
        <v>0</v>
      </c>
      <c r="T11" s="51">
        <f t="shared" si="2"/>
        <v>119017.00000000001</v>
      </c>
      <c r="U11" s="5"/>
      <c r="W11" s="56"/>
      <c r="X11" s="57"/>
      <c r="Y11" s="35"/>
      <c r="Z11" s="35"/>
      <c r="AA11" s="36">
        <f t="shared" ref="AA11:AA36" si="12">Y11-Z11</f>
        <v>0</v>
      </c>
      <c r="AB11" s="37"/>
      <c r="AC11" s="36">
        <f t="shared" ref="AC11:AC35" si="13">AA11*AB11%</f>
        <v>0</v>
      </c>
      <c r="AD11" s="38">
        <f>AC11*AB88/AE88</f>
        <v>0</v>
      </c>
      <c r="AE11" s="5"/>
      <c r="AF11" s="5"/>
      <c r="AG11" s="10"/>
      <c r="AH11" s="5"/>
      <c r="AI11" s="64"/>
      <c r="AJ11" s="5"/>
      <c r="AK11" s="5"/>
      <c r="AL11" s="56"/>
      <c r="AM11" s="57"/>
      <c r="AN11" s="35"/>
      <c r="AO11" s="35"/>
      <c r="AP11" s="36"/>
      <c r="AQ11" s="37"/>
      <c r="AR11" s="36"/>
      <c r="AS11" s="38"/>
      <c r="AT11" s="5"/>
      <c r="AU11" s="5"/>
      <c r="AV11" s="5"/>
      <c r="AW11" s="5"/>
      <c r="AX11" s="5"/>
      <c r="AY11" s="5"/>
      <c r="AZ11" s="5"/>
      <c r="BA11" s="40"/>
      <c r="BB11" s="41"/>
      <c r="BC11" s="42"/>
      <c r="BD11" s="35"/>
      <c r="BE11" s="43">
        <f t="shared" si="0"/>
        <v>0</v>
      </c>
      <c r="BF11" s="35"/>
      <c r="BG11" s="44">
        <f t="shared" si="1"/>
        <v>0</v>
      </c>
      <c r="BJ11" s="40"/>
      <c r="BK11" s="49"/>
      <c r="BL11" s="42"/>
      <c r="BM11" s="42"/>
      <c r="BN11" s="35"/>
      <c r="BO11" s="35"/>
      <c r="BP11" s="53">
        <f t="shared" si="3"/>
        <v>0</v>
      </c>
      <c r="BQ11" s="53">
        <f t="shared" si="4"/>
        <v>0</v>
      </c>
      <c r="BR11" s="44">
        <f t="shared" si="5"/>
        <v>0</v>
      </c>
      <c r="BU11" s="40"/>
      <c r="BV11" s="57"/>
      <c r="BW11" s="57"/>
      <c r="BX11" s="57"/>
      <c r="BY11" s="35"/>
      <c r="BZ11" s="35"/>
      <c r="CA11" s="60">
        <f t="shared" si="9"/>
        <v>0</v>
      </c>
      <c r="CB11" s="60">
        <f t="shared" si="10"/>
        <v>0</v>
      </c>
      <c r="CC11" s="61">
        <f t="shared" si="11"/>
        <v>0</v>
      </c>
      <c r="CD11" s="5"/>
      <c r="CE11" s="5"/>
      <c r="CF11" s="5"/>
      <c r="CG11" s="5"/>
      <c r="CH11" s="5"/>
      <c r="CJ11" s="40"/>
      <c r="CK11" s="57"/>
      <c r="CL11" s="57"/>
      <c r="CM11" s="57"/>
      <c r="CN11" s="35"/>
      <c r="CO11" s="35"/>
      <c r="CP11" s="60">
        <f t="shared" si="6"/>
        <v>0</v>
      </c>
      <c r="CQ11" s="60">
        <f t="shared" si="7"/>
        <v>0</v>
      </c>
      <c r="CR11" s="61">
        <f t="shared" si="8"/>
        <v>0</v>
      </c>
      <c r="CS11" s="5"/>
      <c r="CT11" s="28"/>
      <c r="CU11" s="47"/>
      <c r="CW11" s="28"/>
      <c r="CX11" s="63"/>
      <c r="CZ11" s="28"/>
      <c r="DA11" s="28"/>
      <c r="DB11" s="5"/>
      <c r="DC11" s="5"/>
      <c r="DD11" s="5"/>
      <c r="DE11" s="5"/>
      <c r="DF11" s="5"/>
      <c r="DG11" s="5"/>
    </row>
    <row r="12" spans="2:111" ht="15" customHeight="1" thickBot="1" x14ac:dyDescent="0.25">
      <c r="B12" s="68">
        <v>1</v>
      </c>
      <c r="C12" s="3">
        <v>2</v>
      </c>
      <c r="D12" s="3">
        <v>3</v>
      </c>
      <c r="E12" s="69">
        <v>4</v>
      </c>
      <c r="F12" s="69">
        <v>5</v>
      </c>
      <c r="L12" s="40"/>
      <c r="M12" s="49" t="s">
        <v>71</v>
      </c>
      <c r="N12" s="42" t="s">
        <v>51</v>
      </c>
      <c r="O12" s="42">
        <v>21</v>
      </c>
      <c r="P12" s="35">
        <v>620</v>
      </c>
      <c r="Q12" s="35"/>
      <c r="R12" s="50">
        <f>O11*P11</f>
        <v>119017.00000000001</v>
      </c>
      <c r="S12" s="50">
        <f>O11*Q12</f>
        <v>0</v>
      </c>
      <c r="T12" s="51">
        <f t="shared" si="2"/>
        <v>119017.00000000001</v>
      </c>
      <c r="U12" s="5"/>
      <c r="W12" s="56"/>
      <c r="X12" s="57"/>
      <c r="Y12" s="35"/>
      <c r="Z12" s="35"/>
      <c r="AA12" s="36">
        <f t="shared" si="12"/>
        <v>0</v>
      </c>
      <c r="AB12" s="37"/>
      <c r="AC12" s="36">
        <f t="shared" si="13"/>
        <v>0</v>
      </c>
      <c r="AD12" s="38">
        <f>AC12*AB88/AE88</f>
        <v>0</v>
      </c>
      <c r="AE12" s="5"/>
      <c r="AF12" s="70"/>
      <c r="AG12" s="5"/>
      <c r="AH12" s="64"/>
      <c r="AI12" s="5"/>
      <c r="AJ12" s="5"/>
      <c r="AK12" s="5"/>
      <c r="AL12" s="56"/>
      <c r="AM12" s="57"/>
      <c r="AN12" s="35"/>
      <c r="AO12" s="35"/>
      <c r="AP12" s="36"/>
      <c r="AQ12" s="37"/>
      <c r="AR12" s="36"/>
      <c r="AS12" s="38"/>
      <c r="AT12" s="5"/>
      <c r="AU12" s="5"/>
      <c r="AV12" s="5"/>
      <c r="AW12" s="5"/>
      <c r="AX12" s="5"/>
      <c r="AY12" s="5"/>
      <c r="AZ12" s="5"/>
      <c r="BA12" s="40"/>
      <c r="BB12" s="41"/>
      <c r="BC12" s="42"/>
      <c r="BD12" s="35"/>
      <c r="BE12" s="43">
        <f t="shared" si="0"/>
        <v>0</v>
      </c>
      <c r="BF12" s="35"/>
      <c r="BG12" s="44">
        <f t="shared" si="1"/>
        <v>0</v>
      </c>
      <c r="BJ12" s="40"/>
      <c r="BK12" s="49"/>
      <c r="BL12" s="42"/>
      <c r="BM12" s="42"/>
      <c r="BN12" s="35"/>
      <c r="BO12" s="35"/>
      <c r="BP12" s="53">
        <f t="shared" si="3"/>
        <v>0</v>
      </c>
      <c r="BQ12" s="53">
        <f t="shared" si="4"/>
        <v>0</v>
      </c>
      <c r="BR12" s="44">
        <f t="shared" si="5"/>
        <v>0</v>
      </c>
      <c r="BU12" s="40"/>
      <c r="BV12" s="57"/>
      <c r="BW12" s="57"/>
      <c r="BX12" s="57"/>
      <c r="BY12" s="35"/>
      <c r="BZ12" s="35"/>
      <c r="CA12" s="60">
        <f t="shared" si="9"/>
        <v>0</v>
      </c>
      <c r="CB12" s="60">
        <f t="shared" si="10"/>
        <v>0</v>
      </c>
      <c r="CC12" s="61">
        <f t="shared" si="11"/>
        <v>0</v>
      </c>
      <c r="CD12" s="5"/>
      <c r="CE12" s="5"/>
      <c r="CF12" s="5"/>
      <c r="CG12" s="5"/>
      <c r="CH12" s="5"/>
      <c r="CJ12" s="40"/>
      <c r="CK12" s="57"/>
      <c r="CL12" s="57"/>
      <c r="CM12" s="57"/>
      <c r="CN12" s="35"/>
      <c r="CO12" s="35"/>
      <c r="CP12" s="60">
        <f t="shared" si="6"/>
        <v>0</v>
      </c>
      <c r="CQ12" s="60">
        <f t="shared" si="7"/>
        <v>0</v>
      </c>
      <c r="CR12" s="61">
        <f t="shared" si="8"/>
        <v>0</v>
      </c>
      <c r="CS12" s="5"/>
      <c r="CT12" s="26" t="s">
        <v>72</v>
      </c>
      <c r="CU12" s="63">
        <f>CU10*CU4</f>
        <v>0</v>
      </c>
      <c r="CW12" s="26" t="s">
        <v>72</v>
      </c>
      <c r="CX12" s="63">
        <f>CX10*CX4</f>
        <v>0</v>
      </c>
      <c r="CZ12" s="26" t="s">
        <v>72</v>
      </c>
      <c r="DA12" s="28">
        <f>DA10*DA4</f>
        <v>0</v>
      </c>
      <c r="DB12" s="5"/>
      <c r="DC12" s="5"/>
      <c r="DD12" s="5"/>
      <c r="DE12" s="5"/>
      <c r="DF12" s="5"/>
      <c r="DG12" s="5"/>
    </row>
    <row r="13" spans="2:111" ht="15" customHeight="1" x14ac:dyDescent="0.2">
      <c r="B13" s="71" t="s">
        <v>73</v>
      </c>
      <c r="C13" s="72">
        <v>1</v>
      </c>
      <c r="D13" s="73">
        <f>E13+F13</f>
        <v>641063.89599999995</v>
      </c>
      <c r="E13" s="74">
        <f>SUM(E14:E17)</f>
        <v>641063.89599999995</v>
      </c>
      <c r="F13" s="75">
        <f>SUM(F14:F17)</f>
        <v>0</v>
      </c>
      <c r="L13" s="40"/>
      <c r="M13" s="76" t="s">
        <v>155</v>
      </c>
      <c r="N13" s="42" t="s">
        <v>51</v>
      </c>
      <c r="O13" s="77">
        <v>6</v>
      </c>
      <c r="P13" s="35">
        <v>256</v>
      </c>
      <c r="Q13" s="35"/>
      <c r="R13" s="50">
        <f>O13*P13</f>
        <v>1536</v>
      </c>
      <c r="S13" s="50">
        <f>O12*Q13</f>
        <v>0</v>
      </c>
      <c r="T13" s="51">
        <f t="shared" si="2"/>
        <v>1536</v>
      </c>
      <c r="U13" s="5"/>
      <c r="W13" s="56"/>
      <c r="X13" s="57"/>
      <c r="Y13" s="35"/>
      <c r="Z13" s="35"/>
      <c r="AA13" s="36">
        <f t="shared" si="12"/>
        <v>0</v>
      </c>
      <c r="AB13" s="78"/>
      <c r="AC13" s="36">
        <f t="shared" si="13"/>
        <v>0</v>
      </c>
      <c r="AD13" s="38">
        <f>AC13*AB88/AE88</f>
        <v>0</v>
      </c>
      <c r="AE13" s="5"/>
      <c r="AF13" s="70"/>
      <c r="AG13" s="5"/>
      <c r="AH13" s="64"/>
      <c r="AI13" s="5"/>
      <c r="AJ13" s="5"/>
      <c r="AK13" s="5"/>
      <c r="AL13" s="56"/>
      <c r="AM13" s="57"/>
      <c r="AN13" s="79"/>
      <c r="AO13" s="35"/>
      <c r="AP13" s="36"/>
      <c r="AQ13" s="37"/>
      <c r="AR13" s="36"/>
      <c r="AS13" s="38"/>
      <c r="AT13" s="5"/>
      <c r="AU13" s="5"/>
      <c r="AV13" s="5"/>
      <c r="AW13" s="5"/>
      <c r="AX13" s="5"/>
      <c r="AY13" s="5"/>
      <c r="AZ13" s="5"/>
      <c r="BA13" s="40"/>
      <c r="BB13" s="41"/>
      <c r="BC13" s="42"/>
      <c r="BD13" s="35"/>
      <c r="BE13" s="43">
        <f t="shared" si="0"/>
        <v>0</v>
      </c>
      <c r="BF13" s="35"/>
      <c r="BG13" s="44">
        <f t="shared" si="1"/>
        <v>0</v>
      </c>
      <c r="BJ13" s="40"/>
      <c r="BK13" s="49"/>
      <c r="BL13" s="42"/>
      <c r="BM13" s="42"/>
      <c r="BN13" s="35"/>
      <c r="BO13" s="35"/>
      <c r="BP13" s="53">
        <f t="shared" si="3"/>
        <v>0</v>
      </c>
      <c r="BQ13" s="53">
        <f t="shared" si="4"/>
        <v>0</v>
      </c>
      <c r="BR13" s="44">
        <f t="shared" si="5"/>
        <v>0</v>
      </c>
      <c r="BU13" s="40"/>
      <c r="BV13" s="57"/>
      <c r="BW13" s="57"/>
      <c r="BX13" s="57"/>
      <c r="BY13" s="35"/>
      <c r="BZ13" s="35"/>
      <c r="CA13" s="60">
        <f t="shared" si="9"/>
        <v>0</v>
      </c>
      <c r="CB13" s="60">
        <f t="shared" si="10"/>
        <v>0</v>
      </c>
      <c r="CC13" s="61">
        <f t="shared" si="11"/>
        <v>0</v>
      </c>
      <c r="CD13" s="5"/>
      <c r="CE13" s="5"/>
      <c r="CF13" s="5"/>
      <c r="CG13" s="5"/>
      <c r="CH13" s="5"/>
      <c r="CJ13" s="40"/>
      <c r="CK13" s="57"/>
      <c r="CL13" s="57"/>
      <c r="CM13" s="57"/>
      <c r="CN13" s="35"/>
      <c r="CO13" s="35"/>
      <c r="CP13" s="60">
        <f t="shared" si="6"/>
        <v>0</v>
      </c>
      <c r="CQ13" s="60">
        <f t="shared" si="7"/>
        <v>0</v>
      </c>
      <c r="CR13" s="61">
        <f t="shared" si="8"/>
        <v>0</v>
      </c>
      <c r="CS13" s="5"/>
      <c r="CT13" s="26" t="s">
        <v>74</v>
      </c>
      <c r="CU13" s="80">
        <f>AB88</f>
        <v>2</v>
      </c>
      <c r="CW13" s="26" t="s">
        <v>74</v>
      </c>
      <c r="CX13" s="80">
        <f>AB88</f>
        <v>2</v>
      </c>
      <c r="CZ13" s="26" t="s">
        <v>74</v>
      </c>
      <c r="DA13" s="80">
        <f>AB88</f>
        <v>2</v>
      </c>
      <c r="DB13" s="5"/>
      <c r="DC13" s="5"/>
      <c r="DD13" s="5"/>
      <c r="DE13" s="5"/>
      <c r="DF13" s="5"/>
      <c r="DG13" s="5"/>
    </row>
    <row r="14" spans="2:111" ht="15" customHeight="1" thickBot="1" x14ac:dyDescent="0.3">
      <c r="B14" s="81" t="s">
        <v>75</v>
      </c>
      <c r="C14" s="82">
        <v>1.2</v>
      </c>
      <c r="D14" s="83">
        <f>E14+F14</f>
        <v>641054.19999999995</v>
      </c>
      <c r="E14" s="84">
        <f>R30</f>
        <v>641054.19999999995</v>
      </c>
      <c r="F14" s="85">
        <f>S30</f>
        <v>0</v>
      </c>
      <c r="L14" s="40"/>
      <c r="M14" s="49"/>
      <c r="N14" s="42"/>
      <c r="O14" s="42"/>
      <c r="P14" s="35"/>
      <c r="Q14" s="35"/>
      <c r="R14" s="50"/>
      <c r="S14" s="50"/>
      <c r="T14" s="51"/>
      <c r="U14" s="5"/>
      <c r="W14" s="56"/>
      <c r="X14" s="57"/>
      <c r="Y14" s="35"/>
      <c r="Z14" s="35"/>
      <c r="AA14" s="36">
        <f t="shared" si="12"/>
        <v>0</v>
      </c>
      <c r="AB14" s="78"/>
      <c r="AC14" s="36">
        <f t="shared" si="13"/>
        <v>0</v>
      </c>
      <c r="AD14" s="38">
        <f>AC14*AB88/AE88</f>
        <v>0</v>
      </c>
      <c r="AE14" s="5"/>
      <c r="AF14" s="70"/>
      <c r="AG14" s="5"/>
      <c r="AH14" s="64"/>
      <c r="AI14" s="5"/>
      <c r="AJ14" s="5"/>
      <c r="AK14" s="5"/>
      <c r="AL14" s="56"/>
      <c r="AM14" s="57"/>
      <c r="AN14" s="35"/>
      <c r="AO14" s="35"/>
      <c r="AP14" s="36"/>
      <c r="AQ14" s="37"/>
      <c r="AR14" s="36"/>
      <c r="AS14" s="38"/>
      <c r="AT14" s="5"/>
      <c r="AU14" s="5"/>
      <c r="AV14" s="5"/>
      <c r="AW14" s="5"/>
      <c r="AX14" s="5"/>
      <c r="AY14" s="5"/>
      <c r="AZ14" s="5"/>
      <c r="BA14" s="40"/>
      <c r="BB14" s="41"/>
      <c r="BC14" s="42"/>
      <c r="BD14" s="35"/>
      <c r="BE14" s="43">
        <f t="shared" si="0"/>
        <v>0</v>
      </c>
      <c r="BF14" s="35"/>
      <c r="BG14" s="44">
        <f t="shared" si="1"/>
        <v>0</v>
      </c>
      <c r="BJ14" s="40"/>
      <c r="BK14" s="65"/>
      <c r="BL14" s="42"/>
      <c r="BM14" s="42"/>
      <c r="BN14" s="35"/>
      <c r="BO14" s="35"/>
      <c r="BP14" s="53">
        <f t="shared" si="3"/>
        <v>0</v>
      </c>
      <c r="BQ14" s="53">
        <f t="shared" si="4"/>
        <v>0</v>
      </c>
      <c r="BR14" s="44">
        <f t="shared" si="5"/>
        <v>0</v>
      </c>
      <c r="BU14" s="40"/>
      <c r="BV14" s="57"/>
      <c r="BW14" s="57"/>
      <c r="BX14" s="57"/>
      <c r="BY14" s="35"/>
      <c r="BZ14" s="35"/>
      <c r="CA14" s="60">
        <f t="shared" si="9"/>
        <v>0</v>
      </c>
      <c r="CB14" s="60">
        <f t="shared" si="10"/>
        <v>0</v>
      </c>
      <c r="CC14" s="61">
        <f t="shared" si="11"/>
        <v>0</v>
      </c>
      <c r="CD14" s="5"/>
      <c r="CE14" s="5"/>
      <c r="CF14" s="5"/>
      <c r="CG14" s="5"/>
      <c r="CH14" s="5"/>
      <c r="CJ14" s="86"/>
      <c r="CK14" s="87" t="s">
        <v>21</v>
      </c>
      <c r="CL14" s="88"/>
      <c r="CM14" s="88"/>
      <c r="CN14" s="89"/>
      <c r="CO14" s="89"/>
      <c r="CP14" s="90">
        <f>SUM(CP7:CP13)</f>
        <v>1400</v>
      </c>
      <c r="CQ14" s="90">
        <f>SUM(CQ7:CQ13)</f>
        <v>0</v>
      </c>
      <c r="CR14" s="90">
        <f>SUM(CR7:CR13)</f>
        <v>1400</v>
      </c>
      <c r="CS14" s="5"/>
      <c r="CT14" s="26" t="s">
        <v>76</v>
      </c>
      <c r="CU14" s="80">
        <f>AE88</f>
        <v>1382400</v>
      </c>
      <c r="CW14" s="26" t="s">
        <v>76</v>
      </c>
      <c r="CX14" s="80">
        <f>AE88</f>
        <v>1382400</v>
      </c>
      <c r="CZ14" s="26" t="s">
        <v>76</v>
      </c>
      <c r="DA14" s="80">
        <f>AE88</f>
        <v>1382400</v>
      </c>
      <c r="DB14" s="5"/>
      <c r="DC14" s="5"/>
      <c r="DD14" s="5"/>
      <c r="DE14" s="5"/>
      <c r="DF14" s="5"/>
      <c r="DG14" s="5"/>
    </row>
    <row r="15" spans="2:111" ht="15" customHeight="1" thickBot="1" x14ac:dyDescent="0.3">
      <c r="B15" s="81" t="s">
        <v>77</v>
      </c>
      <c r="C15" s="82">
        <v>1.3</v>
      </c>
      <c r="D15" s="83">
        <f>E15+F15</f>
        <v>0</v>
      </c>
      <c r="E15" s="84">
        <f>R99</f>
        <v>0</v>
      </c>
      <c r="F15" s="85">
        <f>S99</f>
        <v>0</v>
      </c>
      <c r="L15" s="40"/>
      <c r="M15" s="49"/>
      <c r="N15" s="42"/>
      <c r="O15" s="42"/>
      <c r="P15" s="35"/>
      <c r="Q15" s="35"/>
      <c r="R15" s="50"/>
      <c r="S15" s="50"/>
      <c r="T15" s="51"/>
      <c r="U15" s="5"/>
      <c r="W15" s="56"/>
      <c r="X15" s="57"/>
      <c r="Y15" s="35"/>
      <c r="Z15" s="35"/>
      <c r="AA15" s="36">
        <f t="shared" si="12"/>
        <v>0</v>
      </c>
      <c r="AB15" s="78"/>
      <c r="AC15" s="36">
        <f t="shared" si="13"/>
        <v>0</v>
      </c>
      <c r="AD15" s="38">
        <f>AC15*AB88/AE88</f>
        <v>0</v>
      </c>
      <c r="AE15" s="5"/>
      <c r="AF15" s="70"/>
      <c r="AG15" s="5"/>
      <c r="AH15" s="64"/>
      <c r="AI15" s="5"/>
      <c r="AJ15" s="5"/>
      <c r="AK15" s="5"/>
      <c r="AL15" s="56"/>
      <c r="AM15" s="57"/>
      <c r="AN15" s="35"/>
      <c r="AO15" s="35"/>
      <c r="AP15" s="36"/>
      <c r="AQ15" s="37"/>
      <c r="AR15" s="36"/>
      <c r="AS15" s="38"/>
      <c r="AT15" s="5"/>
      <c r="AU15" s="5"/>
      <c r="AV15" s="5"/>
      <c r="AW15" s="5"/>
      <c r="AX15" s="5"/>
      <c r="AY15" s="5"/>
      <c r="AZ15" s="5"/>
      <c r="BA15" s="40"/>
      <c r="BB15" s="41"/>
      <c r="BC15" s="42"/>
      <c r="BD15" s="35"/>
      <c r="BE15" s="43">
        <f t="shared" si="0"/>
        <v>0</v>
      </c>
      <c r="BF15" s="35"/>
      <c r="BG15" s="44">
        <f t="shared" si="1"/>
        <v>0</v>
      </c>
      <c r="BJ15" s="40"/>
      <c r="BK15" s="49"/>
      <c r="BL15" s="42"/>
      <c r="BM15" s="42"/>
      <c r="BN15" s="35"/>
      <c r="BO15" s="35"/>
      <c r="BP15" s="53">
        <f t="shared" si="3"/>
        <v>0</v>
      </c>
      <c r="BQ15" s="53">
        <f t="shared" si="4"/>
        <v>0</v>
      </c>
      <c r="BR15" s="44">
        <f t="shared" si="5"/>
        <v>0</v>
      </c>
      <c r="BU15" s="86"/>
      <c r="BV15" s="87" t="s">
        <v>21</v>
      </c>
      <c r="BW15" s="88"/>
      <c r="BX15" s="88"/>
      <c r="BY15" s="89"/>
      <c r="BZ15" s="89"/>
      <c r="CA15" s="90">
        <f>SUM(CA8:CA14)</f>
        <v>0</v>
      </c>
      <c r="CB15" s="90">
        <f>SUM(CB8:CB14)</f>
        <v>0</v>
      </c>
      <c r="CC15" s="90">
        <f>SUM(CC8:CC14)</f>
        <v>0</v>
      </c>
      <c r="CD15" s="5"/>
      <c r="CE15" s="5"/>
      <c r="CF15" s="5"/>
      <c r="CG15" s="5"/>
      <c r="CH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26" t="s">
        <v>78</v>
      </c>
      <c r="CU15" s="91">
        <f>IF(CU14=0,0,CU12*CU13/CU14)</f>
        <v>0</v>
      </c>
      <c r="CW15" s="26" t="s">
        <v>78</v>
      </c>
      <c r="CX15" s="91">
        <f>IF(CX14=0,0,CX12*CX13/CX14)</f>
        <v>0</v>
      </c>
      <c r="CZ15" s="26" t="s">
        <v>78</v>
      </c>
      <c r="DA15" s="92">
        <f>IF(DA14=0,0,DA12*DA13/DA14)</f>
        <v>0</v>
      </c>
      <c r="DB15" s="5"/>
      <c r="DC15" s="5"/>
      <c r="DD15" s="5"/>
      <c r="DE15" s="5"/>
      <c r="DF15" s="5"/>
      <c r="DG15" s="5"/>
    </row>
    <row r="16" spans="2:111" ht="15" customHeight="1" x14ac:dyDescent="0.2">
      <c r="B16" s="81" t="s">
        <v>79</v>
      </c>
      <c r="C16" s="82">
        <v>1.4</v>
      </c>
      <c r="D16" s="83">
        <f>E16+F16</f>
        <v>6.6959999999999997</v>
      </c>
      <c r="E16" s="84">
        <f>R77</f>
        <v>6.6959999999999997</v>
      </c>
      <c r="F16" s="85">
        <f>S77</f>
        <v>0</v>
      </c>
      <c r="L16" s="40"/>
      <c r="M16" s="49"/>
      <c r="N16" s="42"/>
      <c r="O16" s="42"/>
      <c r="P16" s="35"/>
      <c r="Q16" s="35"/>
      <c r="R16" s="50">
        <f t="shared" ref="R16:R29" si="14">O16*P16</f>
        <v>0</v>
      </c>
      <c r="S16" s="50">
        <f t="shared" ref="S16:S29" si="15">O16*Q16</f>
        <v>0</v>
      </c>
      <c r="T16" s="51">
        <f t="shared" ref="T16:T29" si="16">R16+S16</f>
        <v>0</v>
      </c>
      <c r="U16" s="5"/>
      <c r="W16" s="56"/>
      <c r="X16" s="57"/>
      <c r="Y16" s="35"/>
      <c r="Z16" s="35"/>
      <c r="AA16" s="36">
        <f t="shared" si="12"/>
        <v>0</v>
      </c>
      <c r="AB16" s="78"/>
      <c r="AC16" s="36">
        <f t="shared" si="13"/>
        <v>0</v>
      </c>
      <c r="AD16" s="38">
        <f>AC16*AB88/AE88</f>
        <v>0</v>
      </c>
      <c r="AE16" s="5"/>
      <c r="AF16" s="70"/>
      <c r="AG16" s="5"/>
      <c r="AH16" s="64"/>
      <c r="AI16" s="5"/>
      <c r="AJ16" s="5"/>
      <c r="AK16" s="5"/>
      <c r="AL16" s="56"/>
      <c r="AM16" s="57"/>
      <c r="AN16" s="35"/>
      <c r="AO16" s="35"/>
      <c r="AP16" s="36"/>
      <c r="AQ16" s="37"/>
      <c r="AR16" s="36"/>
      <c r="AS16" s="38"/>
      <c r="AT16" s="5"/>
      <c r="AU16" s="5"/>
      <c r="AV16" s="5"/>
      <c r="AW16" s="5"/>
      <c r="AX16" s="5"/>
      <c r="AY16" s="5"/>
      <c r="AZ16" s="5"/>
      <c r="BA16" s="40"/>
      <c r="BB16" s="41"/>
      <c r="BC16" s="42"/>
      <c r="BD16" s="35"/>
      <c r="BE16" s="43">
        <f t="shared" si="0"/>
        <v>0</v>
      </c>
      <c r="BF16" s="35"/>
      <c r="BG16" s="44">
        <f t="shared" si="1"/>
        <v>0</v>
      </c>
      <c r="BJ16" s="40"/>
      <c r="BK16" s="49"/>
      <c r="BL16" s="42"/>
      <c r="BM16" s="42"/>
      <c r="BN16" s="35"/>
      <c r="BO16" s="35"/>
      <c r="BP16" s="53">
        <f t="shared" si="3"/>
        <v>0</v>
      </c>
      <c r="BQ16" s="53">
        <f t="shared" si="4"/>
        <v>0</v>
      </c>
      <c r="BR16" s="44">
        <f t="shared" si="5"/>
        <v>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</row>
    <row r="17" spans="2:111" ht="15" customHeight="1" x14ac:dyDescent="0.2">
      <c r="B17" s="81" t="s">
        <v>80</v>
      </c>
      <c r="C17" s="82">
        <v>1.5</v>
      </c>
      <c r="D17" s="83">
        <f>E17</f>
        <v>3</v>
      </c>
      <c r="E17" s="84">
        <f>R40</f>
        <v>3</v>
      </c>
      <c r="F17" s="85">
        <f>S40</f>
        <v>0</v>
      </c>
      <c r="L17" s="40"/>
      <c r="M17" s="49"/>
      <c r="N17" s="42"/>
      <c r="O17" s="42"/>
      <c r="P17" s="35"/>
      <c r="Q17" s="35"/>
      <c r="R17" s="50">
        <f t="shared" si="14"/>
        <v>0</v>
      </c>
      <c r="S17" s="50">
        <f t="shared" si="15"/>
        <v>0</v>
      </c>
      <c r="T17" s="51">
        <f t="shared" si="16"/>
        <v>0</v>
      </c>
      <c r="U17" s="5"/>
      <c r="W17" s="56"/>
      <c r="X17" s="57"/>
      <c r="Y17" s="35"/>
      <c r="Z17" s="35"/>
      <c r="AA17" s="36">
        <f t="shared" si="12"/>
        <v>0</v>
      </c>
      <c r="AB17" s="78"/>
      <c r="AC17" s="36">
        <f t="shared" si="13"/>
        <v>0</v>
      </c>
      <c r="AD17" s="38">
        <f>AC17*AB88/AE88</f>
        <v>0</v>
      </c>
      <c r="AE17" s="5"/>
      <c r="AF17" s="70"/>
      <c r="AG17" s="5"/>
      <c r="AH17" s="64"/>
      <c r="AI17" s="5"/>
      <c r="AJ17" s="5"/>
      <c r="AK17" s="5"/>
      <c r="AL17" s="56"/>
      <c r="AM17" s="57"/>
      <c r="AN17" s="35"/>
      <c r="AO17" s="35"/>
      <c r="AP17" s="36"/>
      <c r="AQ17" s="78"/>
      <c r="AR17" s="36"/>
      <c r="AS17" s="38"/>
      <c r="AT17" s="5"/>
      <c r="AU17" s="5"/>
      <c r="AV17" s="5"/>
      <c r="AW17" s="5"/>
      <c r="AX17" s="5"/>
      <c r="AY17" s="5"/>
      <c r="AZ17" s="5"/>
      <c r="BA17" s="40"/>
      <c r="BB17" s="41"/>
      <c r="BC17" s="42"/>
      <c r="BD17" s="35"/>
      <c r="BE17" s="43">
        <f t="shared" si="0"/>
        <v>0</v>
      </c>
      <c r="BF17" s="35"/>
      <c r="BG17" s="44">
        <f t="shared" si="1"/>
        <v>0</v>
      </c>
      <c r="BJ17" s="40"/>
      <c r="BK17" s="49"/>
      <c r="BL17" s="42"/>
      <c r="BM17" s="42"/>
      <c r="BN17" s="35"/>
      <c r="BO17" s="35"/>
      <c r="BP17" s="53">
        <f t="shared" si="3"/>
        <v>0</v>
      </c>
      <c r="BQ17" s="53">
        <f t="shared" si="4"/>
        <v>0</v>
      </c>
      <c r="BR17" s="44">
        <f t="shared" si="5"/>
        <v>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</row>
    <row r="18" spans="2:111" ht="15" customHeight="1" x14ac:dyDescent="0.25">
      <c r="B18" s="93" t="s">
        <v>81</v>
      </c>
      <c r="C18" s="94">
        <v>2</v>
      </c>
      <c r="D18" s="73">
        <f t="shared" ref="D18:D53" si="17">E18+F18</f>
        <v>2573.7856051772878</v>
      </c>
      <c r="E18" s="95">
        <f>E19+E22+E28+E32+E38+E45+E51</f>
        <v>2573.7856051772878</v>
      </c>
      <c r="F18" s="96">
        <f>F19+F22+F28+F32+F38+F45+F51</f>
        <v>0</v>
      </c>
      <c r="L18" s="40"/>
      <c r="M18" s="49"/>
      <c r="N18" s="42"/>
      <c r="O18" s="42"/>
      <c r="P18" s="35"/>
      <c r="Q18" s="35"/>
      <c r="R18" s="50">
        <f t="shared" si="14"/>
        <v>0</v>
      </c>
      <c r="S18" s="50">
        <f t="shared" si="15"/>
        <v>0</v>
      </c>
      <c r="T18" s="51">
        <f t="shared" si="16"/>
        <v>0</v>
      </c>
      <c r="U18" s="5"/>
      <c r="W18" s="56"/>
      <c r="X18" s="57"/>
      <c r="Y18" s="35"/>
      <c r="Z18" s="35"/>
      <c r="AA18" s="36">
        <f t="shared" si="12"/>
        <v>0</v>
      </c>
      <c r="AB18" s="78"/>
      <c r="AC18" s="36">
        <f t="shared" si="13"/>
        <v>0</v>
      </c>
      <c r="AD18" s="38">
        <f>AC18*AB88/AE88</f>
        <v>0</v>
      </c>
      <c r="AE18" s="5"/>
      <c r="AF18" s="70"/>
      <c r="AG18" s="5"/>
      <c r="AH18" s="64"/>
      <c r="AI18" s="5"/>
      <c r="AJ18" s="5"/>
      <c r="AK18" s="5"/>
      <c r="AL18" s="56"/>
      <c r="AM18" s="57"/>
      <c r="AN18" s="35"/>
      <c r="AO18" s="35"/>
      <c r="AP18" s="36">
        <f t="shared" ref="AP18:AP36" si="18">AN18-AO18</f>
        <v>0</v>
      </c>
      <c r="AQ18" s="78"/>
      <c r="AR18" s="36">
        <f t="shared" ref="AR18:AR35" si="19">AP18*AQ18%</f>
        <v>0</v>
      </c>
      <c r="AS18" s="38">
        <f>AR18*AB88/AE88</f>
        <v>0</v>
      </c>
      <c r="AT18" s="5"/>
      <c r="AU18" s="5"/>
      <c r="AV18" s="5"/>
      <c r="AW18" s="5"/>
      <c r="AX18" s="5"/>
      <c r="AY18" s="5"/>
      <c r="AZ18" s="5"/>
      <c r="BA18" s="40"/>
      <c r="BB18" s="41"/>
      <c r="BC18" s="42"/>
      <c r="BD18" s="35"/>
      <c r="BE18" s="43">
        <f t="shared" si="0"/>
        <v>0</v>
      </c>
      <c r="BF18" s="35"/>
      <c r="BG18" s="44">
        <f t="shared" si="1"/>
        <v>0</v>
      </c>
      <c r="BJ18" s="40"/>
      <c r="BK18" s="49"/>
      <c r="BL18" s="42"/>
      <c r="BM18" s="42"/>
      <c r="BN18" s="35"/>
      <c r="BO18" s="35"/>
      <c r="BP18" s="53">
        <f t="shared" si="3"/>
        <v>0</v>
      </c>
      <c r="BQ18" s="53">
        <f t="shared" si="4"/>
        <v>0</v>
      </c>
      <c r="BR18" s="44">
        <f t="shared" si="5"/>
        <v>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J18" s="206" t="s">
        <v>82</v>
      </c>
      <c r="CK18" s="206"/>
      <c r="CL18" s="206"/>
      <c r="CM18" s="206"/>
      <c r="CN18" s="206"/>
      <c r="CO18" s="206"/>
      <c r="CP18" s="206"/>
      <c r="CQ18" s="206"/>
      <c r="CR18" s="5"/>
      <c r="CS18" s="5"/>
      <c r="DG18" s="5"/>
    </row>
    <row r="19" spans="2:111" ht="15" customHeight="1" thickBot="1" x14ac:dyDescent="0.3">
      <c r="B19" s="93" t="s">
        <v>83</v>
      </c>
      <c r="C19" s="94">
        <v>3</v>
      </c>
      <c r="D19" s="73">
        <f t="shared" si="17"/>
        <v>5.9152713749999997</v>
      </c>
      <c r="E19" s="95">
        <f>E20+E21</f>
        <v>5.9152713749999997</v>
      </c>
      <c r="F19" s="96">
        <f>F20+F21</f>
        <v>0</v>
      </c>
      <c r="L19" s="40"/>
      <c r="M19" s="49"/>
      <c r="N19" s="42"/>
      <c r="O19" s="42"/>
      <c r="P19" s="35"/>
      <c r="Q19" s="35"/>
      <c r="R19" s="50">
        <f t="shared" si="14"/>
        <v>0</v>
      </c>
      <c r="S19" s="50">
        <f t="shared" si="15"/>
        <v>0</v>
      </c>
      <c r="T19" s="51">
        <f t="shared" si="16"/>
        <v>0</v>
      </c>
      <c r="U19" s="5"/>
      <c r="W19" s="56"/>
      <c r="X19" s="57"/>
      <c r="Y19" s="35"/>
      <c r="Z19" s="35"/>
      <c r="AA19" s="36">
        <f t="shared" si="12"/>
        <v>0</v>
      </c>
      <c r="AB19" s="78"/>
      <c r="AC19" s="36">
        <f t="shared" si="13"/>
        <v>0</v>
      </c>
      <c r="AD19" s="38">
        <f>AC19*AB88/AE88</f>
        <v>0</v>
      </c>
      <c r="AE19" s="5"/>
      <c r="AF19" s="70"/>
      <c r="AG19" s="5"/>
      <c r="AH19" s="64"/>
      <c r="AI19" s="5"/>
      <c r="AJ19" s="5"/>
      <c r="AK19" s="5"/>
      <c r="AL19" s="56"/>
      <c r="AM19" s="57"/>
      <c r="AN19" s="35"/>
      <c r="AO19" s="35"/>
      <c r="AP19" s="36">
        <f t="shared" si="18"/>
        <v>0</v>
      </c>
      <c r="AQ19" s="78"/>
      <c r="AR19" s="36">
        <f t="shared" si="19"/>
        <v>0</v>
      </c>
      <c r="AS19" s="38">
        <f>AR19*AB88/AE88</f>
        <v>0</v>
      </c>
      <c r="AT19" s="5"/>
      <c r="AU19" s="5"/>
      <c r="AV19" s="5"/>
      <c r="AW19" s="5"/>
      <c r="AX19" s="5"/>
      <c r="AY19" s="5"/>
      <c r="AZ19" s="5"/>
      <c r="BA19" s="40"/>
      <c r="BB19" s="41"/>
      <c r="BC19" s="42"/>
      <c r="BD19" s="35"/>
      <c r="BE19" s="43">
        <f t="shared" si="0"/>
        <v>0</v>
      </c>
      <c r="BF19" s="35"/>
      <c r="BG19" s="44">
        <f t="shared" si="1"/>
        <v>0</v>
      </c>
      <c r="BJ19" s="40"/>
      <c r="BK19" s="49"/>
      <c r="BL19" s="42"/>
      <c r="BM19" s="42"/>
      <c r="BN19" s="35"/>
      <c r="BO19" s="35"/>
      <c r="BP19" s="53">
        <f t="shared" si="3"/>
        <v>0</v>
      </c>
      <c r="BQ19" s="53">
        <f t="shared" si="4"/>
        <v>0</v>
      </c>
      <c r="BR19" s="44">
        <f t="shared" si="5"/>
        <v>0</v>
      </c>
      <c r="BU19" s="206" t="s">
        <v>82</v>
      </c>
      <c r="BV19" s="206"/>
      <c r="BW19" s="206"/>
      <c r="BX19" s="206"/>
      <c r="BY19" s="206"/>
      <c r="BZ19" s="206"/>
      <c r="CA19" s="206"/>
      <c r="CB19" s="206"/>
      <c r="CC19" s="5"/>
      <c r="CD19" s="5"/>
      <c r="CE19" s="5"/>
      <c r="CF19" s="5"/>
      <c r="CJ19" s="8"/>
      <c r="CK19" s="5"/>
      <c r="CL19" s="5"/>
      <c r="CM19" s="9"/>
      <c r="CN19" s="9"/>
      <c r="CO19" s="5"/>
      <c r="CP19" s="5"/>
      <c r="CQ19" s="5"/>
      <c r="CR19" s="5"/>
      <c r="CS19" s="5"/>
      <c r="DG19" s="5"/>
    </row>
    <row r="20" spans="2:111" ht="15" customHeight="1" thickBot="1" x14ac:dyDescent="0.25">
      <c r="B20" s="81" t="s">
        <v>84</v>
      </c>
      <c r="C20" s="82">
        <v>3.2</v>
      </c>
      <c r="D20" s="73">
        <f t="shared" si="17"/>
        <v>5.9152713749999997</v>
      </c>
      <c r="E20" s="84">
        <f>(AD37+AH80)*D10</f>
        <v>5.9152713749999997</v>
      </c>
      <c r="F20" s="85">
        <f>AI80*D10</f>
        <v>0</v>
      </c>
      <c r="L20" s="40"/>
      <c r="M20" s="49"/>
      <c r="N20" s="42"/>
      <c r="O20" s="42"/>
      <c r="P20" s="35"/>
      <c r="Q20" s="35"/>
      <c r="R20" s="50">
        <f t="shared" si="14"/>
        <v>0</v>
      </c>
      <c r="S20" s="50">
        <f t="shared" si="15"/>
        <v>0</v>
      </c>
      <c r="T20" s="51">
        <f t="shared" si="16"/>
        <v>0</v>
      </c>
      <c r="U20" s="5"/>
      <c r="W20" s="56"/>
      <c r="X20" s="57"/>
      <c r="Y20" s="35"/>
      <c r="Z20" s="35"/>
      <c r="AA20" s="36">
        <f t="shared" si="12"/>
        <v>0</v>
      </c>
      <c r="AB20" s="78"/>
      <c r="AC20" s="36">
        <f t="shared" si="13"/>
        <v>0</v>
      </c>
      <c r="AD20" s="38">
        <f>AC20*AB88/AE88</f>
        <v>0</v>
      </c>
      <c r="AE20" s="5"/>
      <c r="AF20" s="70"/>
      <c r="AG20" s="5"/>
      <c r="AH20" s="64"/>
      <c r="AI20" s="5"/>
      <c r="AJ20" s="5"/>
      <c r="AK20" s="5"/>
      <c r="AL20" s="56"/>
      <c r="AM20" s="57"/>
      <c r="AN20" s="35"/>
      <c r="AO20" s="35"/>
      <c r="AP20" s="36">
        <f t="shared" si="18"/>
        <v>0</v>
      </c>
      <c r="AQ20" s="78"/>
      <c r="AR20" s="36">
        <f t="shared" si="19"/>
        <v>0</v>
      </c>
      <c r="AS20" s="38">
        <f>AR20*AB88/AE88</f>
        <v>0</v>
      </c>
      <c r="AT20" s="5"/>
      <c r="AU20" s="5"/>
      <c r="AV20" s="5"/>
      <c r="AW20" s="5"/>
      <c r="AX20" s="5"/>
      <c r="AY20" s="5"/>
      <c r="AZ20" s="5"/>
      <c r="BA20" s="40"/>
      <c r="BB20" s="41"/>
      <c r="BC20" s="42"/>
      <c r="BD20" s="35"/>
      <c r="BE20" s="43">
        <f t="shared" si="0"/>
        <v>0</v>
      </c>
      <c r="BF20" s="35"/>
      <c r="BG20" s="44">
        <f t="shared" si="1"/>
        <v>0</v>
      </c>
      <c r="BJ20" s="40"/>
      <c r="BK20" s="49"/>
      <c r="BL20" s="42"/>
      <c r="BM20" s="42"/>
      <c r="BN20" s="35"/>
      <c r="BO20" s="35"/>
      <c r="BP20" s="53">
        <f t="shared" si="3"/>
        <v>0</v>
      </c>
      <c r="BQ20" s="53">
        <f t="shared" si="4"/>
        <v>0</v>
      </c>
      <c r="BR20" s="44">
        <f t="shared" si="5"/>
        <v>0</v>
      </c>
      <c r="BU20" s="8"/>
      <c r="BV20" s="5"/>
      <c r="BW20" s="5"/>
      <c r="BX20" s="9"/>
      <c r="BY20" s="9"/>
      <c r="BZ20" s="5"/>
      <c r="CA20" s="5"/>
      <c r="CB20" s="5"/>
      <c r="CC20" s="5"/>
      <c r="CD20" s="5"/>
      <c r="CE20" s="5"/>
      <c r="CF20" s="5"/>
      <c r="CJ20" s="15" t="s">
        <v>85</v>
      </c>
      <c r="CK20" s="16" t="s">
        <v>23</v>
      </c>
      <c r="CL20" s="17" t="s">
        <v>24</v>
      </c>
      <c r="CM20" s="16" t="s">
        <v>25</v>
      </c>
      <c r="CN20" s="16" t="s">
        <v>86</v>
      </c>
      <c r="CO20" s="16" t="s">
        <v>27</v>
      </c>
      <c r="CP20" s="16" t="s">
        <v>28</v>
      </c>
      <c r="CQ20" s="18" t="s">
        <v>29</v>
      </c>
      <c r="CR20" s="5"/>
      <c r="CS20" s="5"/>
      <c r="DG20" s="5"/>
    </row>
    <row r="21" spans="2:111" ht="25.5" customHeight="1" x14ac:dyDescent="0.2">
      <c r="B21" s="97" t="s">
        <v>87</v>
      </c>
      <c r="C21" s="98">
        <v>3.3</v>
      </c>
      <c r="D21" s="99">
        <f t="shared" si="17"/>
        <v>0</v>
      </c>
      <c r="E21" s="100"/>
      <c r="F21" s="101">
        <f>CU15*D10</f>
        <v>0</v>
      </c>
      <c r="L21" s="40"/>
      <c r="M21" s="49"/>
      <c r="N21" s="42"/>
      <c r="O21" s="42"/>
      <c r="P21" s="35"/>
      <c r="Q21" s="35"/>
      <c r="R21" s="50">
        <f t="shared" si="14"/>
        <v>0</v>
      </c>
      <c r="S21" s="50">
        <f t="shared" si="15"/>
        <v>0</v>
      </c>
      <c r="T21" s="51">
        <f t="shared" si="16"/>
        <v>0</v>
      </c>
      <c r="U21" s="5"/>
      <c r="W21" s="56"/>
      <c r="X21" s="57"/>
      <c r="Y21" s="35"/>
      <c r="Z21" s="35"/>
      <c r="AA21" s="36">
        <f t="shared" si="12"/>
        <v>0</v>
      </c>
      <c r="AB21" s="78"/>
      <c r="AC21" s="36">
        <f t="shared" si="13"/>
        <v>0</v>
      </c>
      <c r="AD21" s="38">
        <f>AC21*AB88/AE88</f>
        <v>0</v>
      </c>
      <c r="AE21" s="5"/>
      <c r="AF21" s="70"/>
      <c r="AG21" s="5"/>
      <c r="AH21" s="64"/>
      <c r="AI21" s="5"/>
      <c r="AJ21" s="5"/>
      <c r="AK21" s="5"/>
      <c r="AL21" s="56"/>
      <c r="AM21" s="57"/>
      <c r="AN21" s="35"/>
      <c r="AO21" s="35"/>
      <c r="AP21" s="36">
        <f t="shared" si="18"/>
        <v>0</v>
      </c>
      <c r="AQ21" s="78"/>
      <c r="AR21" s="36">
        <f t="shared" si="19"/>
        <v>0</v>
      </c>
      <c r="AS21" s="38">
        <f>AR21*AB88/AE88</f>
        <v>0</v>
      </c>
      <c r="AT21" s="5"/>
      <c r="AU21" s="5"/>
      <c r="AV21" s="5"/>
      <c r="AW21" s="5"/>
      <c r="AX21" s="5"/>
      <c r="AY21" s="5"/>
      <c r="AZ21" s="5"/>
      <c r="BA21" s="40"/>
      <c r="BB21" s="41"/>
      <c r="BC21" s="42"/>
      <c r="BD21" s="35"/>
      <c r="BE21" s="43">
        <f t="shared" si="0"/>
        <v>0</v>
      </c>
      <c r="BF21" s="35"/>
      <c r="BG21" s="44">
        <f t="shared" si="1"/>
        <v>0</v>
      </c>
      <c r="BJ21" s="40"/>
      <c r="BK21" s="49"/>
      <c r="BL21" s="42"/>
      <c r="BM21" s="42"/>
      <c r="BN21" s="35"/>
      <c r="BO21" s="35"/>
      <c r="BP21" s="53">
        <f t="shared" si="3"/>
        <v>0</v>
      </c>
      <c r="BQ21" s="53">
        <f t="shared" si="4"/>
        <v>0</v>
      </c>
      <c r="BR21" s="44">
        <f t="shared" si="5"/>
        <v>0</v>
      </c>
      <c r="BU21" s="15" t="s">
        <v>22</v>
      </c>
      <c r="BV21" s="16" t="s">
        <v>23</v>
      </c>
      <c r="BW21" s="17" t="s">
        <v>24</v>
      </c>
      <c r="BX21" s="20" t="s">
        <v>88</v>
      </c>
      <c r="BY21" s="16" t="s">
        <v>26</v>
      </c>
      <c r="BZ21" s="16" t="s">
        <v>27</v>
      </c>
      <c r="CA21" s="16" t="s">
        <v>28</v>
      </c>
      <c r="CB21" s="18" t="s">
        <v>29</v>
      </c>
      <c r="CC21" s="5"/>
      <c r="CD21" s="5"/>
      <c r="CE21" s="5"/>
      <c r="CF21" s="5"/>
      <c r="CJ21" s="32"/>
      <c r="CK21" s="33"/>
      <c r="CL21" s="34"/>
      <c r="CM21" s="35"/>
      <c r="CN21" s="36">
        <f t="shared" ref="CN21:CN40" si="20">CL21-CM21</f>
        <v>0</v>
      </c>
      <c r="CO21" s="102">
        <v>6</v>
      </c>
      <c r="CP21" s="36">
        <f t="shared" ref="CP21:CP39" si="21">CN21*CO21%</f>
        <v>0</v>
      </c>
      <c r="CQ21" s="38">
        <f>CP21*AB88/AE88</f>
        <v>0</v>
      </c>
      <c r="CR21" s="5"/>
      <c r="CS21" s="5"/>
      <c r="DG21" s="5"/>
    </row>
    <row r="22" spans="2:111" ht="15" customHeight="1" x14ac:dyDescent="0.2">
      <c r="B22" s="93" t="s">
        <v>89</v>
      </c>
      <c r="C22" s="94">
        <v>4</v>
      </c>
      <c r="D22" s="73">
        <f t="shared" si="17"/>
        <v>1167.6728029380902</v>
      </c>
      <c r="E22" s="95">
        <f>SUM(E23:E27)</f>
        <v>1167.6728029380902</v>
      </c>
      <c r="F22" s="96">
        <f>SUM(F23:F27)</f>
        <v>0</v>
      </c>
      <c r="L22" s="40"/>
      <c r="M22" s="49"/>
      <c r="N22" s="42"/>
      <c r="O22" s="42"/>
      <c r="P22" s="35"/>
      <c r="Q22" s="35"/>
      <c r="R22" s="50">
        <f t="shared" si="14"/>
        <v>0</v>
      </c>
      <c r="S22" s="50">
        <f t="shared" si="15"/>
        <v>0</v>
      </c>
      <c r="T22" s="51">
        <f t="shared" si="16"/>
        <v>0</v>
      </c>
      <c r="U22" s="5"/>
      <c r="W22" s="56"/>
      <c r="X22" s="57"/>
      <c r="Y22" s="35"/>
      <c r="Z22" s="35"/>
      <c r="AA22" s="36">
        <f t="shared" si="12"/>
        <v>0</v>
      </c>
      <c r="AB22" s="78"/>
      <c r="AC22" s="36">
        <f t="shared" si="13"/>
        <v>0</v>
      </c>
      <c r="AD22" s="38">
        <f>AC22*AB88/AE88</f>
        <v>0</v>
      </c>
      <c r="AE22" s="5"/>
      <c r="AF22" s="70"/>
      <c r="AG22" s="5"/>
      <c r="AH22" s="64"/>
      <c r="AI22" s="5"/>
      <c r="AJ22" s="5"/>
      <c r="AK22" s="5"/>
      <c r="AL22" s="56"/>
      <c r="AM22" s="57"/>
      <c r="AN22" s="35"/>
      <c r="AO22" s="35"/>
      <c r="AP22" s="36">
        <f t="shared" si="18"/>
        <v>0</v>
      </c>
      <c r="AQ22" s="78"/>
      <c r="AR22" s="36">
        <f t="shared" si="19"/>
        <v>0</v>
      </c>
      <c r="AS22" s="38">
        <f>AR22*AB88/AE88</f>
        <v>0</v>
      </c>
      <c r="AT22" s="5"/>
      <c r="AU22" s="5"/>
      <c r="AV22" s="5"/>
      <c r="AW22" s="5"/>
      <c r="AX22" s="5"/>
      <c r="AY22" s="5"/>
      <c r="AZ22" s="5"/>
      <c r="BA22" s="40"/>
      <c r="BB22" s="41"/>
      <c r="BC22" s="42"/>
      <c r="BD22" s="35"/>
      <c r="BE22" s="43">
        <f t="shared" si="0"/>
        <v>0</v>
      </c>
      <c r="BF22" s="35"/>
      <c r="BG22" s="44">
        <f t="shared" si="1"/>
        <v>0</v>
      </c>
      <c r="BJ22" s="40"/>
      <c r="BK22" s="49"/>
      <c r="BL22" s="42"/>
      <c r="BM22" s="42"/>
      <c r="BN22" s="35"/>
      <c r="BO22" s="35"/>
      <c r="BP22" s="53">
        <f t="shared" si="3"/>
        <v>0</v>
      </c>
      <c r="BQ22" s="53">
        <f t="shared" si="4"/>
        <v>0</v>
      </c>
      <c r="BR22" s="44">
        <f t="shared" si="5"/>
        <v>0</v>
      </c>
      <c r="BU22" s="32"/>
      <c r="BV22" s="33"/>
      <c r="BW22" s="34"/>
      <c r="BX22" s="35"/>
      <c r="BY22" s="36">
        <f t="shared" ref="BY22:BY41" si="22">BW22-BX22</f>
        <v>0</v>
      </c>
      <c r="BZ22" s="37"/>
      <c r="CA22" s="36">
        <f t="shared" ref="CA22:CA40" si="23">BY22*BZ22%</f>
        <v>0</v>
      </c>
      <c r="CB22" s="38">
        <f>CA22*AB88/AE88</f>
        <v>0</v>
      </c>
      <c r="CC22" s="5"/>
      <c r="CD22" s="5"/>
      <c r="CE22" s="5"/>
      <c r="CF22" s="5"/>
      <c r="CJ22" s="32"/>
      <c r="CK22" s="33"/>
      <c r="CL22" s="34"/>
      <c r="CM22" s="35"/>
      <c r="CN22" s="36">
        <f t="shared" si="20"/>
        <v>0</v>
      </c>
      <c r="CO22" s="102"/>
      <c r="CP22" s="36">
        <f t="shared" si="21"/>
        <v>0</v>
      </c>
      <c r="CQ22" s="38">
        <f>CP22*AB88/AE88</f>
        <v>0</v>
      </c>
      <c r="CR22" s="5"/>
      <c r="CS22" s="5"/>
      <c r="DG22" s="5"/>
    </row>
    <row r="23" spans="2:111" ht="15" customHeight="1" x14ac:dyDescent="0.2">
      <c r="B23" s="81" t="s">
        <v>90</v>
      </c>
      <c r="C23" s="82">
        <v>4.0999999999999996</v>
      </c>
      <c r="D23" s="83">
        <f t="shared" si="17"/>
        <v>899.47534102833151</v>
      </c>
      <c r="E23" s="84">
        <f>BG36</f>
        <v>899.47534102833151</v>
      </c>
      <c r="F23" s="103"/>
      <c r="L23" s="40"/>
      <c r="M23" s="49"/>
      <c r="N23" s="42"/>
      <c r="O23" s="42"/>
      <c r="P23" s="35"/>
      <c r="Q23" s="35"/>
      <c r="R23" s="50">
        <f t="shared" si="14"/>
        <v>0</v>
      </c>
      <c r="S23" s="50">
        <f t="shared" si="15"/>
        <v>0</v>
      </c>
      <c r="T23" s="51">
        <f t="shared" si="16"/>
        <v>0</v>
      </c>
      <c r="U23" s="5"/>
      <c r="W23" s="56"/>
      <c r="X23" s="57"/>
      <c r="Y23" s="35"/>
      <c r="Z23" s="35"/>
      <c r="AA23" s="36">
        <f t="shared" si="12"/>
        <v>0</v>
      </c>
      <c r="AB23" s="78"/>
      <c r="AC23" s="36">
        <f t="shared" si="13"/>
        <v>0</v>
      </c>
      <c r="AD23" s="38">
        <f>AC23*AB88/AE88</f>
        <v>0</v>
      </c>
      <c r="AE23" s="5"/>
      <c r="AF23" s="70"/>
      <c r="AG23" s="5"/>
      <c r="AH23" s="64"/>
      <c r="AI23" s="5"/>
      <c r="AJ23" s="5"/>
      <c r="AK23" s="5"/>
      <c r="AL23" s="56"/>
      <c r="AM23" s="57"/>
      <c r="AN23" s="35"/>
      <c r="AO23" s="35"/>
      <c r="AP23" s="36">
        <f t="shared" si="18"/>
        <v>0</v>
      </c>
      <c r="AQ23" s="78"/>
      <c r="AR23" s="36">
        <f t="shared" si="19"/>
        <v>0</v>
      </c>
      <c r="AS23" s="38">
        <f>AR23*AB88/AE88</f>
        <v>0</v>
      </c>
      <c r="AT23" s="5"/>
      <c r="AU23" s="5"/>
      <c r="AV23" s="5"/>
      <c r="AW23" s="5"/>
      <c r="AX23" s="5"/>
      <c r="AY23" s="5"/>
      <c r="AZ23" s="5"/>
      <c r="BA23" s="40"/>
      <c r="BB23" s="41"/>
      <c r="BC23" s="42"/>
      <c r="BD23" s="35"/>
      <c r="BE23" s="43">
        <f t="shared" si="0"/>
        <v>0</v>
      </c>
      <c r="BF23" s="35"/>
      <c r="BG23" s="44">
        <f t="shared" si="1"/>
        <v>0</v>
      </c>
      <c r="BJ23" s="40"/>
      <c r="BK23" s="49"/>
      <c r="BL23" s="42"/>
      <c r="BM23" s="42"/>
      <c r="BN23" s="35"/>
      <c r="BO23" s="35"/>
      <c r="BP23" s="53">
        <f t="shared" si="3"/>
        <v>0</v>
      </c>
      <c r="BQ23" s="53">
        <f t="shared" si="4"/>
        <v>0</v>
      </c>
      <c r="BR23" s="44">
        <f t="shared" si="5"/>
        <v>0</v>
      </c>
      <c r="BU23" s="32"/>
      <c r="BV23" s="33"/>
      <c r="BW23" s="34"/>
      <c r="BX23" s="35"/>
      <c r="BY23" s="36">
        <f t="shared" si="22"/>
        <v>0</v>
      </c>
      <c r="BZ23" s="37"/>
      <c r="CA23" s="36">
        <f t="shared" si="23"/>
        <v>0</v>
      </c>
      <c r="CB23" s="38">
        <f>CA23*AB88/AE88</f>
        <v>0</v>
      </c>
      <c r="CC23" s="5"/>
      <c r="CD23" s="5"/>
      <c r="CE23" s="5"/>
      <c r="CF23" s="5"/>
      <c r="CJ23" s="56"/>
      <c r="CK23" s="57"/>
      <c r="CL23" s="35"/>
      <c r="CM23" s="35"/>
      <c r="CN23" s="36">
        <f t="shared" si="20"/>
        <v>0</v>
      </c>
      <c r="CO23" s="104"/>
      <c r="CP23" s="36">
        <f t="shared" si="21"/>
        <v>0</v>
      </c>
      <c r="CQ23" s="38">
        <f>CP23*AB88/AE88</f>
        <v>0</v>
      </c>
      <c r="CR23" s="5"/>
      <c r="CS23" s="5"/>
      <c r="DG23" s="5"/>
    </row>
    <row r="24" spans="2:111" ht="15" customHeight="1" x14ac:dyDescent="0.2">
      <c r="B24" s="105" t="s">
        <v>91</v>
      </c>
      <c r="C24" s="82">
        <v>4.2</v>
      </c>
      <c r="D24" s="83">
        <f t="shared" si="17"/>
        <v>81.762308499475324</v>
      </c>
      <c r="E24" s="84">
        <f>E23*I24%</f>
        <v>81.762308499475324</v>
      </c>
      <c r="F24" s="106"/>
      <c r="H24" s="1" t="s">
        <v>92</v>
      </c>
      <c r="I24" s="107">
        <v>9.09</v>
      </c>
      <c r="L24" s="40"/>
      <c r="M24" s="49"/>
      <c r="N24" s="42"/>
      <c r="O24" s="42"/>
      <c r="P24" s="35"/>
      <c r="Q24" s="35"/>
      <c r="R24" s="50">
        <f t="shared" si="14"/>
        <v>0</v>
      </c>
      <c r="S24" s="50">
        <f t="shared" si="15"/>
        <v>0</v>
      </c>
      <c r="T24" s="51">
        <f t="shared" si="16"/>
        <v>0</v>
      </c>
      <c r="U24" s="5"/>
      <c r="W24" s="56"/>
      <c r="X24" s="57"/>
      <c r="Y24" s="35"/>
      <c r="Z24" s="35"/>
      <c r="AA24" s="36">
        <f t="shared" si="12"/>
        <v>0</v>
      </c>
      <c r="AB24" s="78"/>
      <c r="AC24" s="36">
        <f t="shared" si="13"/>
        <v>0</v>
      </c>
      <c r="AD24" s="38">
        <f>AC24*AB88/AE88</f>
        <v>0</v>
      </c>
      <c r="AE24" s="5"/>
      <c r="AF24" s="70"/>
      <c r="AG24" s="5"/>
      <c r="AH24" s="64"/>
      <c r="AI24" s="5"/>
      <c r="AJ24" s="5"/>
      <c r="AK24" s="5"/>
      <c r="AL24" s="56"/>
      <c r="AM24" s="57"/>
      <c r="AN24" s="35"/>
      <c r="AO24" s="35"/>
      <c r="AP24" s="36">
        <f t="shared" si="18"/>
        <v>0</v>
      </c>
      <c r="AQ24" s="78"/>
      <c r="AR24" s="36">
        <f t="shared" si="19"/>
        <v>0</v>
      </c>
      <c r="AS24" s="38">
        <f>AR24*AB88/AE88</f>
        <v>0</v>
      </c>
      <c r="AT24" s="5"/>
      <c r="AU24" s="5"/>
      <c r="AV24" s="5"/>
      <c r="AW24" s="5"/>
      <c r="AX24" s="5"/>
      <c r="AY24" s="5"/>
      <c r="AZ24" s="5"/>
      <c r="BA24" s="40"/>
      <c r="BB24" s="41"/>
      <c r="BC24" s="42"/>
      <c r="BD24" s="35"/>
      <c r="BE24" s="43">
        <f t="shared" si="0"/>
        <v>0</v>
      </c>
      <c r="BF24" s="35"/>
      <c r="BG24" s="44">
        <f t="shared" si="1"/>
        <v>0</v>
      </c>
      <c r="BJ24" s="40"/>
      <c r="BK24" s="49"/>
      <c r="BL24" s="42"/>
      <c r="BM24" s="42"/>
      <c r="BN24" s="35"/>
      <c r="BO24" s="35"/>
      <c r="BP24" s="53">
        <f t="shared" si="3"/>
        <v>0</v>
      </c>
      <c r="BQ24" s="53">
        <f t="shared" si="4"/>
        <v>0</v>
      </c>
      <c r="BR24" s="44">
        <f t="shared" si="5"/>
        <v>0</v>
      </c>
      <c r="BU24" s="56"/>
      <c r="BV24" s="57"/>
      <c r="BW24" s="35"/>
      <c r="BX24" s="35"/>
      <c r="BY24" s="36">
        <f t="shared" si="22"/>
        <v>0</v>
      </c>
      <c r="BZ24" s="78"/>
      <c r="CA24" s="36">
        <f t="shared" si="23"/>
        <v>0</v>
      </c>
      <c r="CB24" s="38">
        <f>CA24*AB88/AE88</f>
        <v>0</v>
      </c>
      <c r="CC24" s="5"/>
      <c r="CD24" s="5"/>
      <c r="CE24" s="5"/>
      <c r="CF24" s="5"/>
      <c r="CJ24" s="56"/>
      <c r="CK24" s="57"/>
      <c r="CL24" s="35"/>
      <c r="CM24" s="35"/>
      <c r="CN24" s="36">
        <f t="shared" si="20"/>
        <v>0</v>
      </c>
      <c r="CO24" s="104"/>
      <c r="CP24" s="36">
        <f t="shared" si="21"/>
        <v>0</v>
      </c>
      <c r="CQ24" s="38">
        <f>CP24*AB88/AE88</f>
        <v>0</v>
      </c>
      <c r="CR24" s="5"/>
      <c r="CS24" s="5"/>
      <c r="DG24" s="5"/>
    </row>
    <row r="25" spans="2:111" ht="15" customHeight="1" x14ac:dyDescent="0.2">
      <c r="B25" s="105" t="s">
        <v>93</v>
      </c>
      <c r="C25" s="82">
        <v>4.3</v>
      </c>
      <c r="D25" s="83">
        <f t="shared" si="17"/>
        <v>49.061882476390345</v>
      </c>
      <c r="E25" s="84">
        <f>(E23+E24)*I25%</f>
        <v>49.061882476390345</v>
      </c>
      <c r="F25" s="106"/>
      <c r="H25" s="1" t="s">
        <v>92</v>
      </c>
      <c r="I25" s="107">
        <v>5</v>
      </c>
      <c r="L25" s="40"/>
      <c r="M25" s="49"/>
      <c r="N25" s="42"/>
      <c r="O25" s="42"/>
      <c r="P25" s="35"/>
      <c r="Q25" s="35"/>
      <c r="R25" s="50">
        <f t="shared" si="14"/>
        <v>0</v>
      </c>
      <c r="S25" s="50">
        <f t="shared" si="15"/>
        <v>0</v>
      </c>
      <c r="T25" s="51">
        <f t="shared" si="16"/>
        <v>0</v>
      </c>
      <c r="U25" s="5"/>
      <c r="W25" s="56"/>
      <c r="X25" s="57"/>
      <c r="Y25" s="35"/>
      <c r="Z25" s="35"/>
      <c r="AA25" s="36">
        <f t="shared" si="12"/>
        <v>0</v>
      </c>
      <c r="AB25" s="78"/>
      <c r="AC25" s="36">
        <f t="shared" si="13"/>
        <v>0</v>
      </c>
      <c r="AD25" s="38">
        <f>AC25*AB88/AE88</f>
        <v>0</v>
      </c>
      <c r="AE25" s="5"/>
      <c r="AF25" s="70"/>
      <c r="AG25" s="5"/>
      <c r="AH25" s="64"/>
      <c r="AI25" s="5"/>
      <c r="AJ25" s="5"/>
      <c r="AK25" s="5"/>
      <c r="AL25" s="56"/>
      <c r="AM25" s="57"/>
      <c r="AN25" s="35"/>
      <c r="AO25" s="35"/>
      <c r="AP25" s="36">
        <f t="shared" si="18"/>
        <v>0</v>
      </c>
      <c r="AQ25" s="78"/>
      <c r="AR25" s="36">
        <f t="shared" si="19"/>
        <v>0</v>
      </c>
      <c r="AS25" s="38">
        <f>AR25*AB88/AE88</f>
        <v>0</v>
      </c>
      <c r="AT25" s="5"/>
      <c r="AU25" s="5"/>
      <c r="AV25" s="5"/>
      <c r="AW25" s="5"/>
      <c r="AX25" s="5"/>
      <c r="AY25" s="5"/>
      <c r="AZ25" s="5"/>
      <c r="BA25" s="40"/>
      <c r="BB25" s="41"/>
      <c r="BC25" s="42"/>
      <c r="BD25" s="35"/>
      <c r="BE25" s="43">
        <f t="shared" si="0"/>
        <v>0</v>
      </c>
      <c r="BF25" s="35"/>
      <c r="BG25" s="44">
        <f t="shared" si="1"/>
        <v>0</v>
      </c>
      <c r="BJ25" s="40"/>
      <c r="BK25" s="49"/>
      <c r="BL25" s="42"/>
      <c r="BM25" s="42"/>
      <c r="BN25" s="35"/>
      <c r="BO25" s="35"/>
      <c r="BP25" s="53">
        <f t="shared" si="3"/>
        <v>0</v>
      </c>
      <c r="BQ25" s="53">
        <f t="shared" si="4"/>
        <v>0</v>
      </c>
      <c r="BR25" s="44">
        <f t="shared" si="5"/>
        <v>0</v>
      </c>
      <c r="BU25" s="56"/>
      <c r="BV25" s="57"/>
      <c r="BW25" s="35"/>
      <c r="BX25" s="35"/>
      <c r="BY25" s="36">
        <f t="shared" si="22"/>
        <v>0</v>
      </c>
      <c r="BZ25" s="78"/>
      <c r="CA25" s="36">
        <f t="shared" si="23"/>
        <v>0</v>
      </c>
      <c r="CB25" s="38">
        <f>CA25*AB88/AE88</f>
        <v>0</v>
      </c>
      <c r="CC25" s="5"/>
      <c r="CD25" s="5"/>
      <c r="CE25" s="5"/>
      <c r="CF25" s="5"/>
      <c r="CJ25" s="56"/>
      <c r="CK25" s="57"/>
      <c r="CL25" s="35"/>
      <c r="CM25" s="35"/>
      <c r="CN25" s="36">
        <f t="shared" si="20"/>
        <v>0</v>
      </c>
      <c r="CO25" s="104"/>
      <c r="CP25" s="36">
        <f t="shared" si="21"/>
        <v>0</v>
      </c>
      <c r="CQ25" s="38">
        <f>CP25*AB88/AE88</f>
        <v>0</v>
      </c>
      <c r="CR25" s="5"/>
      <c r="CS25" s="5"/>
      <c r="DG25" s="5"/>
    </row>
    <row r="26" spans="2:111" ht="15" customHeight="1" x14ac:dyDescent="0.2">
      <c r="B26" s="105" t="s">
        <v>94</v>
      </c>
      <c r="C26" s="82">
        <v>4.4000000000000004</v>
      </c>
      <c r="D26" s="83">
        <f t="shared" si="17"/>
        <v>137.37327093389297</v>
      </c>
      <c r="E26" s="84">
        <f>(E23+E24)*I26%</f>
        <v>137.37327093389297</v>
      </c>
      <c r="F26" s="106"/>
      <c r="H26" s="1" t="s">
        <v>92</v>
      </c>
      <c r="I26" s="107">
        <v>14</v>
      </c>
      <c r="L26" s="40"/>
      <c r="M26" s="49"/>
      <c r="N26" s="42"/>
      <c r="O26" s="42"/>
      <c r="P26" s="35"/>
      <c r="Q26" s="35"/>
      <c r="R26" s="50">
        <f t="shared" si="14"/>
        <v>0</v>
      </c>
      <c r="S26" s="50">
        <f t="shared" si="15"/>
        <v>0</v>
      </c>
      <c r="T26" s="51">
        <f t="shared" si="16"/>
        <v>0</v>
      </c>
      <c r="U26" s="5"/>
      <c r="W26" s="56"/>
      <c r="X26" s="57"/>
      <c r="Y26" s="35"/>
      <c r="Z26" s="35"/>
      <c r="AA26" s="36">
        <f t="shared" si="12"/>
        <v>0</v>
      </c>
      <c r="AB26" s="78"/>
      <c r="AC26" s="36">
        <f t="shared" si="13"/>
        <v>0</v>
      </c>
      <c r="AD26" s="38">
        <f>AC26*AB88/AE88</f>
        <v>0</v>
      </c>
      <c r="AE26" s="5"/>
      <c r="AF26" s="70"/>
      <c r="AG26" s="5"/>
      <c r="AH26" s="64"/>
      <c r="AI26" s="5"/>
      <c r="AJ26" s="5"/>
      <c r="AK26" s="5"/>
      <c r="AL26" s="56"/>
      <c r="AM26" s="57"/>
      <c r="AN26" s="35"/>
      <c r="AO26" s="35"/>
      <c r="AP26" s="36">
        <f t="shared" si="18"/>
        <v>0</v>
      </c>
      <c r="AQ26" s="78"/>
      <c r="AR26" s="36">
        <f t="shared" si="19"/>
        <v>0</v>
      </c>
      <c r="AS26" s="38">
        <f>AR26*AB88/AE88</f>
        <v>0</v>
      </c>
      <c r="AT26" s="5"/>
      <c r="AU26" s="5"/>
      <c r="AV26" s="5"/>
      <c r="AW26" s="5"/>
      <c r="AX26" s="5"/>
      <c r="AY26" s="5"/>
      <c r="AZ26" s="5"/>
      <c r="BA26" s="40"/>
      <c r="BB26" s="41"/>
      <c r="BC26" s="42"/>
      <c r="BD26" s="35"/>
      <c r="BE26" s="43">
        <f t="shared" si="0"/>
        <v>0</v>
      </c>
      <c r="BF26" s="35"/>
      <c r="BG26" s="44">
        <f t="shared" si="1"/>
        <v>0</v>
      </c>
      <c r="BJ26" s="40"/>
      <c r="BK26" s="49"/>
      <c r="BL26" s="42"/>
      <c r="BM26" s="42"/>
      <c r="BN26" s="35"/>
      <c r="BO26" s="35"/>
      <c r="BP26" s="53">
        <f t="shared" si="3"/>
        <v>0</v>
      </c>
      <c r="BQ26" s="53">
        <f t="shared" si="4"/>
        <v>0</v>
      </c>
      <c r="BR26" s="44">
        <f t="shared" si="5"/>
        <v>0</v>
      </c>
      <c r="BU26" s="56"/>
      <c r="BV26" s="57"/>
      <c r="BW26" s="35"/>
      <c r="BX26" s="35"/>
      <c r="BY26" s="36">
        <f t="shared" si="22"/>
        <v>0</v>
      </c>
      <c r="BZ26" s="78"/>
      <c r="CA26" s="36">
        <f t="shared" si="23"/>
        <v>0</v>
      </c>
      <c r="CB26" s="38">
        <f>CA26*AB88/AE88</f>
        <v>0</v>
      </c>
      <c r="CC26" s="5"/>
      <c r="CD26" s="5"/>
      <c r="CE26" s="5"/>
      <c r="CF26" s="5"/>
      <c r="CJ26" s="56"/>
      <c r="CK26" s="57"/>
      <c r="CL26" s="35"/>
      <c r="CM26" s="35"/>
      <c r="CN26" s="36">
        <f t="shared" si="20"/>
        <v>0</v>
      </c>
      <c r="CO26" s="104"/>
      <c r="CP26" s="36">
        <f t="shared" si="21"/>
        <v>0</v>
      </c>
      <c r="CQ26" s="38">
        <f>CP26*AB88/AE88</f>
        <v>0</v>
      </c>
      <c r="CR26" s="5"/>
      <c r="CS26" s="5"/>
      <c r="DG26" s="5"/>
    </row>
    <row r="27" spans="2:111" ht="15" customHeight="1" x14ac:dyDescent="0.2">
      <c r="B27" s="105" t="s">
        <v>95</v>
      </c>
      <c r="C27" s="82">
        <v>4.5</v>
      </c>
      <c r="D27" s="73">
        <f t="shared" si="17"/>
        <v>0</v>
      </c>
      <c r="E27" s="84"/>
      <c r="F27" s="103"/>
      <c r="L27" s="40"/>
      <c r="M27" s="49"/>
      <c r="N27" s="42"/>
      <c r="O27" s="42"/>
      <c r="P27" s="35"/>
      <c r="Q27" s="35"/>
      <c r="R27" s="50">
        <f t="shared" si="14"/>
        <v>0</v>
      </c>
      <c r="S27" s="50">
        <f t="shared" si="15"/>
        <v>0</v>
      </c>
      <c r="T27" s="51">
        <f t="shared" si="16"/>
        <v>0</v>
      </c>
      <c r="U27" s="5"/>
      <c r="W27" s="56"/>
      <c r="X27" s="57"/>
      <c r="Y27" s="35"/>
      <c r="Z27" s="35"/>
      <c r="AA27" s="36">
        <f t="shared" si="12"/>
        <v>0</v>
      </c>
      <c r="AB27" s="78"/>
      <c r="AC27" s="36">
        <f t="shared" si="13"/>
        <v>0</v>
      </c>
      <c r="AD27" s="38">
        <f>AC27*AB88/AE88</f>
        <v>0</v>
      </c>
      <c r="AE27" s="5"/>
      <c r="AF27" s="70"/>
      <c r="AG27" s="5"/>
      <c r="AH27" s="64"/>
      <c r="AI27" s="5"/>
      <c r="AJ27" s="5"/>
      <c r="AK27" s="5"/>
      <c r="AL27" s="56"/>
      <c r="AM27" s="57"/>
      <c r="AN27" s="35"/>
      <c r="AO27" s="35"/>
      <c r="AP27" s="36">
        <f t="shared" si="18"/>
        <v>0</v>
      </c>
      <c r="AQ27" s="78"/>
      <c r="AR27" s="36">
        <f t="shared" si="19"/>
        <v>0</v>
      </c>
      <c r="AS27" s="38">
        <f>AR27*AB88/AE88</f>
        <v>0</v>
      </c>
      <c r="AT27" s="5"/>
      <c r="AU27" s="5"/>
      <c r="AV27" s="5"/>
      <c r="AW27" s="5"/>
      <c r="AX27" s="5"/>
      <c r="AY27" s="5"/>
      <c r="AZ27" s="5"/>
      <c r="BA27" s="40"/>
      <c r="BB27" s="41"/>
      <c r="BC27" s="42"/>
      <c r="BD27" s="35"/>
      <c r="BE27" s="43">
        <f t="shared" si="0"/>
        <v>0</v>
      </c>
      <c r="BF27" s="35"/>
      <c r="BG27" s="44">
        <f t="shared" si="1"/>
        <v>0</v>
      </c>
      <c r="BJ27" s="40"/>
      <c r="BK27" s="49"/>
      <c r="BL27" s="42"/>
      <c r="BM27" s="42"/>
      <c r="BN27" s="35"/>
      <c r="BO27" s="35"/>
      <c r="BP27" s="53">
        <f t="shared" si="3"/>
        <v>0</v>
      </c>
      <c r="BQ27" s="53">
        <f t="shared" si="4"/>
        <v>0</v>
      </c>
      <c r="BR27" s="44">
        <f t="shared" si="5"/>
        <v>0</v>
      </c>
      <c r="BU27" s="56"/>
      <c r="BV27" s="57"/>
      <c r="BW27" s="35"/>
      <c r="BX27" s="35"/>
      <c r="BY27" s="36">
        <f t="shared" si="22"/>
        <v>0</v>
      </c>
      <c r="BZ27" s="78"/>
      <c r="CA27" s="36">
        <f t="shared" si="23"/>
        <v>0</v>
      </c>
      <c r="CB27" s="38">
        <f>CA27*AB88/AE88</f>
        <v>0</v>
      </c>
      <c r="CC27" s="5"/>
      <c r="CD27" s="5"/>
      <c r="CE27" s="5"/>
      <c r="CF27" s="5"/>
      <c r="CJ27" s="56"/>
      <c r="CK27" s="57"/>
      <c r="CL27" s="35"/>
      <c r="CM27" s="35"/>
      <c r="CN27" s="36">
        <f t="shared" si="20"/>
        <v>0</v>
      </c>
      <c r="CO27" s="104"/>
      <c r="CP27" s="36">
        <f t="shared" si="21"/>
        <v>0</v>
      </c>
      <c r="CQ27" s="38">
        <f>CP27*AB88/AE88</f>
        <v>0</v>
      </c>
      <c r="CR27" s="5"/>
      <c r="CS27" s="5"/>
      <c r="DG27" s="5"/>
    </row>
    <row r="28" spans="2:111" ht="15" customHeight="1" x14ac:dyDescent="0.2">
      <c r="B28" s="93" t="s">
        <v>96</v>
      </c>
      <c r="C28" s="94">
        <v>5</v>
      </c>
      <c r="D28" s="73">
        <f t="shared" si="17"/>
        <v>0</v>
      </c>
      <c r="E28" s="95">
        <f>SUM(E29:E31)</f>
        <v>0</v>
      </c>
      <c r="F28" s="96">
        <f>SUM(F29:F31)</f>
        <v>0</v>
      </c>
      <c r="L28" s="40"/>
      <c r="M28" s="49"/>
      <c r="N28" s="42"/>
      <c r="O28" s="42"/>
      <c r="P28" s="35"/>
      <c r="Q28" s="35"/>
      <c r="R28" s="50">
        <f t="shared" si="14"/>
        <v>0</v>
      </c>
      <c r="S28" s="50">
        <f t="shared" si="15"/>
        <v>0</v>
      </c>
      <c r="T28" s="51">
        <f t="shared" si="16"/>
        <v>0</v>
      </c>
      <c r="U28" s="5"/>
      <c r="W28" s="56"/>
      <c r="X28" s="57"/>
      <c r="Y28" s="35"/>
      <c r="Z28" s="35"/>
      <c r="AA28" s="36">
        <f t="shared" si="12"/>
        <v>0</v>
      </c>
      <c r="AB28" s="78"/>
      <c r="AC28" s="36">
        <f t="shared" si="13"/>
        <v>0</v>
      </c>
      <c r="AD28" s="38">
        <f>AC28*AB88/AE88</f>
        <v>0</v>
      </c>
      <c r="AE28" s="5"/>
      <c r="AF28" s="70"/>
      <c r="AG28" s="5"/>
      <c r="AH28" s="64"/>
      <c r="AI28" s="5"/>
      <c r="AJ28" s="5"/>
      <c r="AK28" s="5"/>
      <c r="AL28" s="56"/>
      <c r="AM28" s="57"/>
      <c r="AN28" s="35"/>
      <c r="AO28" s="35"/>
      <c r="AP28" s="36">
        <f t="shared" si="18"/>
        <v>0</v>
      </c>
      <c r="AQ28" s="78"/>
      <c r="AR28" s="36">
        <f t="shared" si="19"/>
        <v>0</v>
      </c>
      <c r="AS28" s="38">
        <f>AR28*AB88/AE88</f>
        <v>0</v>
      </c>
      <c r="AT28" s="5"/>
      <c r="AU28" s="5"/>
      <c r="AV28" s="5"/>
      <c r="AW28" s="5"/>
      <c r="AX28" s="5"/>
      <c r="AY28" s="5"/>
      <c r="AZ28" s="5"/>
      <c r="BA28" s="40"/>
      <c r="BB28" s="41"/>
      <c r="BC28" s="42"/>
      <c r="BD28" s="35"/>
      <c r="BE28" s="43">
        <f t="shared" si="0"/>
        <v>0</v>
      </c>
      <c r="BF28" s="35"/>
      <c r="BG28" s="44">
        <f t="shared" si="1"/>
        <v>0</v>
      </c>
      <c r="BJ28" s="40"/>
      <c r="BK28" s="49"/>
      <c r="BL28" s="42"/>
      <c r="BM28" s="42"/>
      <c r="BN28" s="35"/>
      <c r="BO28" s="35"/>
      <c r="BP28" s="53">
        <f t="shared" si="3"/>
        <v>0</v>
      </c>
      <c r="BQ28" s="53">
        <f t="shared" si="4"/>
        <v>0</v>
      </c>
      <c r="BR28" s="44">
        <f t="shared" si="5"/>
        <v>0</v>
      </c>
      <c r="BU28" s="56"/>
      <c r="BV28" s="57"/>
      <c r="BW28" s="35"/>
      <c r="BX28" s="35"/>
      <c r="BY28" s="36">
        <f t="shared" si="22"/>
        <v>0</v>
      </c>
      <c r="BZ28" s="78"/>
      <c r="CA28" s="36">
        <f t="shared" si="23"/>
        <v>0</v>
      </c>
      <c r="CB28" s="38">
        <f>CA28*AB88/AE88</f>
        <v>0</v>
      </c>
      <c r="CC28" s="5"/>
      <c r="CD28" s="5"/>
      <c r="CE28" s="5"/>
      <c r="CF28" s="5"/>
      <c r="CJ28" s="56"/>
      <c r="CK28" s="57"/>
      <c r="CL28" s="35"/>
      <c r="CM28" s="35"/>
      <c r="CN28" s="36">
        <f t="shared" si="20"/>
        <v>0</v>
      </c>
      <c r="CO28" s="104"/>
      <c r="CP28" s="36">
        <f t="shared" si="21"/>
        <v>0</v>
      </c>
      <c r="CQ28" s="38">
        <f>CP28*AB88/AE88</f>
        <v>0</v>
      </c>
      <c r="CR28" s="5"/>
      <c r="CS28" s="5"/>
      <c r="DG28" s="5"/>
    </row>
    <row r="29" spans="2:111" ht="15" customHeight="1" x14ac:dyDescent="0.2">
      <c r="B29" s="81" t="s">
        <v>97</v>
      </c>
      <c r="C29" s="82">
        <v>5.0999999999999996</v>
      </c>
      <c r="D29" s="73">
        <f t="shared" si="17"/>
        <v>0</v>
      </c>
      <c r="E29" s="84">
        <f>BP32</f>
        <v>0</v>
      </c>
      <c r="F29" s="85">
        <f>BQ32</f>
        <v>0</v>
      </c>
      <c r="L29" s="40"/>
      <c r="M29" s="42"/>
      <c r="N29" s="42"/>
      <c r="O29" s="42"/>
      <c r="P29" s="35"/>
      <c r="Q29" s="35"/>
      <c r="R29" s="50">
        <f t="shared" si="14"/>
        <v>0</v>
      </c>
      <c r="S29" s="50">
        <f t="shared" si="15"/>
        <v>0</v>
      </c>
      <c r="T29" s="51">
        <f t="shared" si="16"/>
        <v>0</v>
      </c>
      <c r="U29" s="5"/>
      <c r="W29" s="56"/>
      <c r="X29" s="57"/>
      <c r="Y29" s="35"/>
      <c r="Z29" s="35"/>
      <c r="AA29" s="36">
        <f t="shared" si="12"/>
        <v>0</v>
      </c>
      <c r="AB29" s="78"/>
      <c r="AC29" s="36">
        <f t="shared" si="13"/>
        <v>0</v>
      </c>
      <c r="AD29" s="38">
        <f>AC29*AB88/AE88</f>
        <v>0</v>
      </c>
      <c r="AE29" s="5"/>
      <c r="AF29" s="70"/>
      <c r="AG29" s="5"/>
      <c r="AH29" s="64"/>
      <c r="AI29" s="5"/>
      <c r="AJ29" s="5"/>
      <c r="AK29" s="5"/>
      <c r="AL29" s="56"/>
      <c r="AM29" s="57"/>
      <c r="AN29" s="35"/>
      <c r="AO29" s="35"/>
      <c r="AP29" s="36">
        <f t="shared" si="18"/>
        <v>0</v>
      </c>
      <c r="AQ29" s="78"/>
      <c r="AR29" s="36">
        <f t="shared" si="19"/>
        <v>0</v>
      </c>
      <c r="AS29" s="38">
        <f>AR29*AB88/AE88</f>
        <v>0</v>
      </c>
      <c r="AT29" s="5"/>
      <c r="AU29" s="5"/>
      <c r="AV29" s="5"/>
      <c r="AW29" s="5"/>
      <c r="AX29" s="5"/>
      <c r="AY29" s="5"/>
      <c r="AZ29" s="5"/>
      <c r="BA29" s="40"/>
      <c r="BB29" s="41"/>
      <c r="BC29" s="42"/>
      <c r="BD29" s="35"/>
      <c r="BE29" s="43">
        <f t="shared" si="0"/>
        <v>0</v>
      </c>
      <c r="BF29" s="35"/>
      <c r="BG29" s="44">
        <f t="shared" si="1"/>
        <v>0</v>
      </c>
      <c r="BJ29" s="40"/>
      <c r="BK29" s="49"/>
      <c r="BL29" s="42"/>
      <c r="BM29" s="42"/>
      <c r="BN29" s="35"/>
      <c r="BO29" s="35"/>
      <c r="BP29" s="53">
        <f t="shared" si="3"/>
        <v>0</v>
      </c>
      <c r="BQ29" s="53">
        <f t="shared" si="4"/>
        <v>0</v>
      </c>
      <c r="BR29" s="44">
        <f t="shared" si="5"/>
        <v>0</v>
      </c>
      <c r="BU29" s="56"/>
      <c r="BV29" s="57"/>
      <c r="BW29" s="35"/>
      <c r="BX29" s="35"/>
      <c r="BY29" s="36">
        <f t="shared" si="22"/>
        <v>0</v>
      </c>
      <c r="BZ29" s="78"/>
      <c r="CA29" s="36">
        <f t="shared" si="23"/>
        <v>0</v>
      </c>
      <c r="CB29" s="38">
        <f>CA29*AB88/AE88</f>
        <v>0</v>
      </c>
      <c r="CC29" s="5"/>
      <c r="CD29" s="5"/>
      <c r="CE29" s="5"/>
      <c r="CF29" s="5"/>
      <c r="CJ29" s="56"/>
      <c r="CK29" s="57"/>
      <c r="CL29" s="35"/>
      <c r="CM29" s="35"/>
      <c r="CN29" s="36">
        <f t="shared" si="20"/>
        <v>0</v>
      </c>
      <c r="CO29" s="104"/>
      <c r="CP29" s="36">
        <f t="shared" si="21"/>
        <v>0</v>
      </c>
      <c r="CQ29" s="38">
        <f>CP29*AB88/AE88</f>
        <v>0</v>
      </c>
      <c r="CR29" s="5"/>
      <c r="CS29" s="5"/>
      <c r="DG29" s="5"/>
    </row>
    <row r="30" spans="2:111" ht="15.75" customHeight="1" x14ac:dyDescent="0.25">
      <c r="B30" s="105" t="s">
        <v>98</v>
      </c>
      <c r="C30" s="82">
        <v>5.2</v>
      </c>
      <c r="D30" s="73">
        <f t="shared" si="17"/>
        <v>0</v>
      </c>
      <c r="E30" s="84"/>
      <c r="F30" s="103"/>
      <c r="L30" s="108"/>
      <c r="M30" s="31" t="s">
        <v>21</v>
      </c>
      <c r="N30" s="109"/>
      <c r="O30" s="109"/>
      <c r="P30" s="50"/>
      <c r="Q30" s="50"/>
      <c r="R30" s="110">
        <f>SUM(R6:R29)</f>
        <v>641054.19999999995</v>
      </c>
      <c r="S30" s="110">
        <f>SUM(S6:S29)</f>
        <v>0</v>
      </c>
      <c r="T30" s="111">
        <f>SUM(T6:T29)</f>
        <v>641054.19999999995</v>
      </c>
      <c r="U30" s="5"/>
      <c r="W30" s="56"/>
      <c r="X30" s="57"/>
      <c r="Y30" s="35"/>
      <c r="Z30" s="35"/>
      <c r="AA30" s="36">
        <f t="shared" si="12"/>
        <v>0</v>
      </c>
      <c r="AB30" s="78"/>
      <c r="AC30" s="36">
        <f t="shared" si="13"/>
        <v>0</v>
      </c>
      <c r="AD30" s="38">
        <f>AC30*AB88/AE88</f>
        <v>0</v>
      </c>
      <c r="AE30" s="5"/>
      <c r="AF30" s="70"/>
      <c r="AG30" s="5"/>
      <c r="AH30" s="64"/>
      <c r="AI30" s="5"/>
      <c r="AJ30" s="5"/>
      <c r="AK30" s="5"/>
      <c r="AL30" s="56"/>
      <c r="AM30" s="57"/>
      <c r="AN30" s="35"/>
      <c r="AO30" s="35"/>
      <c r="AP30" s="36">
        <f t="shared" si="18"/>
        <v>0</v>
      </c>
      <c r="AQ30" s="78"/>
      <c r="AR30" s="36">
        <f t="shared" si="19"/>
        <v>0</v>
      </c>
      <c r="AS30" s="38">
        <f>AR30*AB88/AE88</f>
        <v>0</v>
      </c>
      <c r="AT30" s="5"/>
      <c r="AU30" s="5"/>
      <c r="AV30" s="5"/>
      <c r="AW30" s="5"/>
      <c r="AX30" s="5"/>
      <c r="AY30" s="5"/>
      <c r="AZ30" s="5"/>
      <c r="BA30" s="40"/>
      <c r="BB30" s="41"/>
      <c r="BC30" s="42"/>
      <c r="BD30" s="35"/>
      <c r="BE30" s="43">
        <f t="shared" si="0"/>
        <v>0</v>
      </c>
      <c r="BF30" s="35"/>
      <c r="BG30" s="44">
        <f t="shared" si="1"/>
        <v>0</v>
      </c>
      <c r="BJ30" s="40"/>
      <c r="BK30" s="112"/>
      <c r="BL30" s="42"/>
      <c r="BM30" s="42"/>
      <c r="BN30" s="35"/>
      <c r="BO30" s="35"/>
      <c r="BP30" s="53">
        <f t="shared" si="3"/>
        <v>0</v>
      </c>
      <c r="BQ30" s="53">
        <f t="shared" si="4"/>
        <v>0</v>
      </c>
      <c r="BR30" s="44">
        <f t="shared" si="5"/>
        <v>0</v>
      </c>
      <c r="BU30" s="56"/>
      <c r="BV30" s="57"/>
      <c r="BW30" s="35"/>
      <c r="BX30" s="35"/>
      <c r="BY30" s="36">
        <f t="shared" si="22"/>
        <v>0</v>
      </c>
      <c r="BZ30" s="78"/>
      <c r="CA30" s="36">
        <f t="shared" si="23"/>
        <v>0</v>
      </c>
      <c r="CB30" s="38">
        <f>CA30*AB88/AE88</f>
        <v>0</v>
      </c>
      <c r="CC30" s="5"/>
      <c r="CD30" s="5"/>
      <c r="CE30" s="5"/>
      <c r="CF30" s="5"/>
      <c r="CJ30" s="56"/>
      <c r="CK30" s="57"/>
      <c r="CL30" s="35"/>
      <c r="CM30" s="35"/>
      <c r="CN30" s="36">
        <f t="shared" si="20"/>
        <v>0</v>
      </c>
      <c r="CO30" s="104"/>
      <c r="CP30" s="36">
        <f t="shared" si="21"/>
        <v>0</v>
      </c>
      <c r="CQ30" s="38">
        <f>CP30*AB88/AE88</f>
        <v>0</v>
      </c>
      <c r="CR30" s="5"/>
      <c r="CS30" s="5"/>
      <c r="DG30" s="5"/>
    </row>
    <row r="31" spans="2:111" ht="15" customHeight="1" x14ac:dyDescent="0.2">
      <c r="B31" s="81" t="s">
        <v>99</v>
      </c>
      <c r="C31" s="82">
        <v>5.3</v>
      </c>
      <c r="D31" s="83">
        <f t="shared" si="17"/>
        <v>0</v>
      </c>
      <c r="E31" s="84">
        <f>(AS37+AW80)*D10</f>
        <v>0</v>
      </c>
      <c r="F31" s="85">
        <f>AX80*D10</f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W31" s="56"/>
      <c r="X31" s="57"/>
      <c r="Y31" s="35"/>
      <c r="Z31" s="35"/>
      <c r="AA31" s="36">
        <f t="shared" si="12"/>
        <v>0</v>
      </c>
      <c r="AB31" s="78"/>
      <c r="AC31" s="36">
        <f t="shared" si="13"/>
        <v>0</v>
      </c>
      <c r="AD31" s="38">
        <f>AC31*AB88/AE88</f>
        <v>0</v>
      </c>
      <c r="AE31" s="5"/>
      <c r="AF31" s="70"/>
      <c r="AG31" s="5"/>
      <c r="AH31" s="64"/>
      <c r="AI31" s="5"/>
      <c r="AJ31" s="5"/>
      <c r="AK31" s="5"/>
      <c r="AL31" s="56"/>
      <c r="AM31" s="57"/>
      <c r="AN31" s="35"/>
      <c r="AO31" s="35"/>
      <c r="AP31" s="36">
        <f t="shared" si="18"/>
        <v>0</v>
      </c>
      <c r="AQ31" s="78"/>
      <c r="AR31" s="36">
        <f t="shared" si="19"/>
        <v>0</v>
      </c>
      <c r="AS31" s="38">
        <f>AR31*AB88/AE88</f>
        <v>0</v>
      </c>
      <c r="AT31" s="5"/>
      <c r="AU31" s="5"/>
      <c r="AV31" s="5"/>
      <c r="AW31" s="5"/>
      <c r="AX31" s="5"/>
      <c r="AY31" s="5"/>
      <c r="AZ31" s="5"/>
      <c r="BA31" s="40"/>
      <c r="BB31" s="41"/>
      <c r="BC31" s="42"/>
      <c r="BD31" s="35"/>
      <c r="BE31" s="43">
        <f t="shared" si="0"/>
        <v>0</v>
      </c>
      <c r="BF31" s="35"/>
      <c r="BG31" s="44">
        <f t="shared" si="1"/>
        <v>0</v>
      </c>
      <c r="BJ31" s="40"/>
      <c r="BK31" s="42"/>
      <c r="BL31" s="42"/>
      <c r="BM31" s="42"/>
      <c r="BN31" s="35"/>
      <c r="BO31" s="35"/>
      <c r="BP31" s="53"/>
      <c r="BQ31" s="53"/>
      <c r="BR31" s="44"/>
      <c r="BU31" s="56"/>
      <c r="BV31" s="57"/>
      <c r="BW31" s="35"/>
      <c r="BX31" s="35"/>
      <c r="BY31" s="36">
        <f t="shared" si="22"/>
        <v>0</v>
      </c>
      <c r="BZ31" s="78"/>
      <c r="CA31" s="36">
        <f t="shared" si="23"/>
        <v>0</v>
      </c>
      <c r="CB31" s="38">
        <f>CA31*AB88/AE88</f>
        <v>0</v>
      </c>
      <c r="CC31" s="5"/>
      <c r="CD31" s="5"/>
      <c r="CE31" s="5"/>
      <c r="CF31" s="5"/>
      <c r="CJ31" s="56"/>
      <c r="CK31" s="57"/>
      <c r="CL31" s="35"/>
      <c r="CM31" s="35"/>
      <c r="CN31" s="36">
        <f t="shared" si="20"/>
        <v>0</v>
      </c>
      <c r="CO31" s="104"/>
      <c r="CP31" s="36">
        <f t="shared" si="21"/>
        <v>0</v>
      </c>
      <c r="CQ31" s="38">
        <f>CP31*AB88/AE88</f>
        <v>0</v>
      </c>
      <c r="CR31" s="5"/>
      <c r="CS31" s="5"/>
      <c r="DG31" s="5"/>
    </row>
    <row r="32" spans="2:111" ht="15" customHeight="1" thickBot="1" x14ac:dyDescent="0.3">
      <c r="B32" s="93" t="s">
        <v>100</v>
      </c>
      <c r="C32" s="94">
        <v>6</v>
      </c>
      <c r="D32" s="73">
        <f t="shared" si="17"/>
        <v>0</v>
      </c>
      <c r="E32" s="95">
        <f>SUM(E33:E37)</f>
        <v>0</v>
      </c>
      <c r="F32" s="96">
        <f>SUM(F33:F37)</f>
        <v>0</v>
      </c>
      <c r="L32" s="5"/>
      <c r="M32" s="5"/>
      <c r="N32" s="5"/>
      <c r="O32" s="5"/>
      <c r="P32" s="5"/>
      <c r="Q32" s="5"/>
      <c r="R32" s="5"/>
      <c r="S32" s="5"/>
      <c r="T32" s="5"/>
      <c r="U32" s="5"/>
      <c r="W32" s="56"/>
      <c r="X32" s="57"/>
      <c r="Y32" s="35"/>
      <c r="Z32" s="35"/>
      <c r="AA32" s="36">
        <f t="shared" si="12"/>
        <v>0</v>
      </c>
      <c r="AB32" s="78"/>
      <c r="AC32" s="36">
        <f t="shared" si="13"/>
        <v>0</v>
      </c>
      <c r="AD32" s="38">
        <f>AC32*AB88/AE88</f>
        <v>0</v>
      </c>
      <c r="AE32" s="5"/>
      <c r="AF32" s="70"/>
      <c r="AG32" s="5"/>
      <c r="AH32" s="64"/>
      <c r="AI32" s="5"/>
      <c r="AJ32" s="5"/>
      <c r="AK32" s="5"/>
      <c r="AL32" s="56"/>
      <c r="AM32" s="57"/>
      <c r="AN32" s="35"/>
      <c r="AO32" s="35"/>
      <c r="AP32" s="36">
        <f t="shared" si="18"/>
        <v>0</v>
      </c>
      <c r="AQ32" s="78"/>
      <c r="AR32" s="36">
        <f t="shared" si="19"/>
        <v>0</v>
      </c>
      <c r="AS32" s="38">
        <f>AR32*AB88/AE88</f>
        <v>0</v>
      </c>
      <c r="AT32" s="5"/>
      <c r="AU32" s="5"/>
      <c r="AV32" s="5"/>
      <c r="AW32" s="5"/>
      <c r="AX32" s="5"/>
      <c r="AY32" s="5"/>
      <c r="AZ32" s="5"/>
      <c r="BA32" s="40"/>
      <c r="BB32" s="41"/>
      <c r="BC32" s="42"/>
      <c r="BD32" s="35"/>
      <c r="BE32" s="43">
        <f t="shared" si="0"/>
        <v>0</v>
      </c>
      <c r="BF32" s="35"/>
      <c r="BG32" s="44">
        <f t="shared" si="1"/>
        <v>0</v>
      </c>
      <c r="BJ32" s="113"/>
      <c r="BK32" s="114" t="s">
        <v>21</v>
      </c>
      <c r="BL32" s="115"/>
      <c r="BM32" s="115"/>
      <c r="BN32" s="116"/>
      <c r="BO32" s="116"/>
      <c r="BP32" s="116">
        <f>SUM(BP6:BP31)</f>
        <v>0</v>
      </c>
      <c r="BQ32" s="116">
        <f>SUM(BQ6:BQ31)</f>
        <v>0</v>
      </c>
      <c r="BR32" s="117">
        <f>SUM(BR6:BR31)</f>
        <v>0</v>
      </c>
      <c r="BU32" s="56"/>
      <c r="BV32" s="57"/>
      <c r="BW32" s="35"/>
      <c r="BX32" s="35"/>
      <c r="BY32" s="36">
        <f t="shared" si="22"/>
        <v>0</v>
      </c>
      <c r="BZ32" s="78"/>
      <c r="CA32" s="36">
        <f t="shared" si="23"/>
        <v>0</v>
      </c>
      <c r="CB32" s="38">
        <f>CA32*AB88/AE88</f>
        <v>0</v>
      </c>
      <c r="CC32" s="5"/>
      <c r="CD32" s="5"/>
      <c r="CE32" s="5"/>
      <c r="CF32" s="5"/>
      <c r="CJ32" s="56"/>
      <c r="CK32" s="57"/>
      <c r="CL32" s="35"/>
      <c r="CM32" s="35"/>
      <c r="CN32" s="36">
        <f t="shared" si="20"/>
        <v>0</v>
      </c>
      <c r="CO32" s="104"/>
      <c r="CP32" s="36">
        <f t="shared" si="21"/>
        <v>0</v>
      </c>
      <c r="CQ32" s="38">
        <f>CP32*AB88/AE88</f>
        <v>0</v>
      </c>
      <c r="CR32" s="5"/>
      <c r="CS32" s="5"/>
      <c r="DG32" s="5"/>
    </row>
    <row r="33" spans="2:111" ht="15" customHeight="1" x14ac:dyDescent="0.2">
      <c r="B33" s="81" t="s">
        <v>90</v>
      </c>
      <c r="C33" s="82">
        <v>6.1</v>
      </c>
      <c r="D33" s="73">
        <f t="shared" si="17"/>
        <v>0</v>
      </c>
      <c r="E33" s="84">
        <f>BG82</f>
        <v>0</v>
      </c>
      <c r="F33" s="103"/>
      <c r="L33" s="5"/>
      <c r="M33" s="5"/>
      <c r="N33" s="5"/>
      <c r="O33" s="5"/>
      <c r="P33" s="5"/>
      <c r="Q33" s="5"/>
      <c r="R33" s="5"/>
      <c r="S33" s="5"/>
      <c r="T33" s="5"/>
      <c r="U33" s="5"/>
      <c r="W33" s="56"/>
      <c r="X33" s="57"/>
      <c r="Y33" s="35"/>
      <c r="Z33" s="35"/>
      <c r="AA33" s="36">
        <f t="shared" si="12"/>
        <v>0</v>
      </c>
      <c r="AB33" s="78"/>
      <c r="AC33" s="36">
        <f t="shared" si="13"/>
        <v>0</v>
      </c>
      <c r="AD33" s="38">
        <f>AC33*AB88/AE88</f>
        <v>0</v>
      </c>
      <c r="AE33" s="5"/>
      <c r="AF33" s="70"/>
      <c r="AG33" s="5"/>
      <c r="AH33" s="64"/>
      <c r="AI33" s="5"/>
      <c r="AJ33" s="5"/>
      <c r="AK33" s="5"/>
      <c r="AL33" s="56"/>
      <c r="AM33" s="57"/>
      <c r="AN33" s="35"/>
      <c r="AO33" s="35"/>
      <c r="AP33" s="36">
        <f t="shared" si="18"/>
        <v>0</v>
      </c>
      <c r="AQ33" s="78"/>
      <c r="AR33" s="36">
        <f t="shared" si="19"/>
        <v>0</v>
      </c>
      <c r="AS33" s="38">
        <f>AR33*AB88/AE88</f>
        <v>0</v>
      </c>
      <c r="AT33" s="5"/>
      <c r="AU33" s="5"/>
      <c r="AV33" s="5"/>
      <c r="AW33" s="5"/>
      <c r="AX33" s="5"/>
      <c r="AY33" s="5"/>
      <c r="AZ33" s="5"/>
      <c r="BA33" s="40"/>
      <c r="BB33" s="41"/>
      <c r="BC33" s="42"/>
      <c r="BD33" s="35"/>
      <c r="BE33" s="43">
        <f t="shared" si="0"/>
        <v>0</v>
      </c>
      <c r="BF33" s="35"/>
      <c r="BG33" s="44">
        <f t="shared" si="1"/>
        <v>0</v>
      </c>
      <c r="BU33" s="56"/>
      <c r="BV33" s="57"/>
      <c r="BW33" s="35"/>
      <c r="BX33" s="35"/>
      <c r="BY33" s="36">
        <f t="shared" si="22"/>
        <v>0</v>
      </c>
      <c r="BZ33" s="78"/>
      <c r="CA33" s="36">
        <f t="shared" si="23"/>
        <v>0</v>
      </c>
      <c r="CB33" s="38">
        <f>CA33*AB88/AE88</f>
        <v>0</v>
      </c>
      <c r="CC33" s="5"/>
      <c r="CD33" s="5"/>
      <c r="CE33" s="5"/>
      <c r="CF33" s="5"/>
      <c r="CJ33" s="56"/>
      <c r="CK33" s="57"/>
      <c r="CL33" s="35"/>
      <c r="CM33" s="35"/>
      <c r="CN33" s="36">
        <f t="shared" si="20"/>
        <v>0</v>
      </c>
      <c r="CO33" s="104"/>
      <c r="CP33" s="36">
        <f t="shared" si="21"/>
        <v>0</v>
      </c>
      <c r="CQ33" s="38">
        <f>CP33*AB88/AE88</f>
        <v>0</v>
      </c>
      <c r="CR33" s="5"/>
      <c r="CS33" s="5"/>
      <c r="DG33" s="5"/>
    </row>
    <row r="34" spans="2:111" ht="15" customHeight="1" x14ac:dyDescent="0.25">
      <c r="B34" s="105" t="s">
        <v>91</v>
      </c>
      <c r="C34" s="82">
        <v>6.2</v>
      </c>
      <c r="D34" s="73">
        <f t="shared" si="17"/>
        <v>0</v>
      </c>
      <c r="E34" s="84">
        <f>E33*I34%</f>
        <v>0</v>
      </c>
      <c r="F34" s="103"/>
      <c r="H34" s="1" t="s">
        <v>92</v>
      </c>
      <c r="I34" s="107">
        <v>9.09</v>
      </c>
      <c r="L34" s="5"/>
      <c r="M34" s="46" t="s">
        <v>101</v>
      </c>
      <c r="N34" s="5"/>
      <c r="O34" s="5"/>
      <c r="P34" s="5"/>
      <c r="Q34" s="5"/>
      <c r="R34" s="5"/>
      <c r="S34" s="5"/>
      <c r="T34" s="5"/>
      <c r="U34" s="5"/>
      <c r="W34" s="56"/>
      <c r="X34" s="57"/>
      <c r="Y34" s="35"/>
      <c r="Z34" s="35"/>
      <c r="AA34" s="36">
        <f t="shared" si="12"/>
        <v>0</v>
      </c>
      <c r="AB34" s="78"/>
      <c r="AC34" s="36">
        <f t="shared" si="13"/>
        <v>0</v>
      </c>
      <c r="AD34" s="38">
        <f>AC34*AB88/AE88</f>
        <v>0</v>
      </c>
      <c r="AE34" s="5"/>
      <c r="AF34" s="70"/>
      <c r="AG34" s="5"/>
      <c r="AH34" s="64"/>
      <c r="AI34" s="5"/>
      <c r="AJ34" s="5"/>
      <c r="AK34" s="5"/>
      <c r="AL34" s="56"/>
      <c r="AM34" s="57"/>
      <c r="AN34" s="35"/>
      <c r="AO34" s="35"/>
      <c r="AP34" s="36">
        <f t="shared" si="18"/>
        <v>0</v>
      </c>
      <c r="AQ34" s="78"/>
      <c r="AR34" s="36">
        <f t="shared" si="19"/>
        <v>0</v>
      </c>
      <c r="AS34" s="38">
        <f>AR34*AB88/AE88</f>
        <v>0</v>
      </c>
      <c r="AT34" s="5"/>
      <c r="AU34" s="5"/>
      <c r="AV34" s="5"/>
      <c r="AW34" s="5"/>
      <c r="AX34" s="5"/>
      <c r="AY34" s="5"/>
      <c r="AZ34" s="5"/>
      <c r="BA34" s="40"/>
      <c r="BB34" s="41"/>
      <c r="BC34" s="42"/>
      <c r="BD34" s="35"/>
      <c r="BE34" s="43">
        <f t="shared" si="0"/>
        <v>0</v>
      </c>
      <c r="BF34" s="35"/>
      <c r="BG34" s="44">
        <f t="shared" si="1"/>
        <v>0</v>
      </c>
      <c r="BU34" s="56"/>
      <c r="BV34" s="57"/>
      <c r="BW34" s="35"/>
      <c r="BX34" s="35"/>
      <c r="BY34" s="36">
        <f t="shared" si="22"/>
        <v>0</v>
      </c>
      <c r="BZ34" s="78"/>
      <c r="CA34" s="36">
        <f t="shared" si="23"/>
        <v>0</v>
      </c>
      <c r="CB34" s="38">
        <f>CA34*AB88/AE88</f>
        <v>0</v>
      </c>
      <c r="CC34" s="5"/>
      <c r="CD34" s="5"/>
      <c r="CE34" s="5"/>
      <c r="CF34" s="5"/>
      <c r="CJ34" s="56"/>
      <c r="CK34" s="57"/>
      <c r="CL34" s="35"/>
      <c r="CM34" s="35"/>
      <c r="CN34" s="36">
        <f t="shared" si="20"/>
        <v>0</v>
      </c>
      <c r="CO34" s="104"/>
      <c r="CP34" s="36">
        <f t="shared" si="21"/>
        <v>0</v>
      </c>
      <c r="CQ34" s="38">
        <f>CP34*AB88/AE88</f>
        <v>0</v>
      </c>
      <c r="CR34" s="5"/>
      <c r="CS34" s="5"/>
      <c r="DG34" s="5"/>
    </row>
    <row r="35" spans="2:111" ht="15" customHeight="1" thickBot="1" x14ac:dyDescent="0.25">
      <c r="B35" s="105" t="s">
        <v>93</v>
      </c>
      <c r="C35" s="82">
        <v>6.3</v>
      </c>
      <c r="D35" s="73">
        <f t="shared" si="17"/>
        <v>0</v>
      </c>
      <c r="E35" s="84">
        <f>(E33+E34)*I35%</f>
        <v>0</v>
      </c>
      <c r="F35" s="103"/>
      <c r="H35" s="1" t="s">
        <v>92</v>
      </c>
      <c r="I35" s="107">
        <v>5</v>
      </c>
      <c r="L35" s="5"/>
      <c r="M35" s="5"/>
      <c r="N35" s="5"/>
      <c r="O35" s="5"/>
      <c r="P35" s="5"/>
      <c r="Q35" s="5"/>
      <c r="R35" s="5"/>
      <c r="S35" s="5"/>
      <c r="T35" s="5"/>
      <c r="U35" s="5"/>
      <c r="W35" s="56"/>
      <c r="X35" s="57"/>
      <c r="Y35" s="35"/>
      <c r="Z35" s="35"/>
      <c r="AA35" s="36">
        <f t="shared" si="12"/>
        <v>0</v>
      </c>
      <c r="AB35" s="78"/>
      <c r="AC35" s="36">
        <f t="shared" si="13"/>
        <v>0</v>
      </c>
      <c r="AD35" s="61">
        <f>AC35*AB88/AE88</f>
        <v>0</v>
      </c>
      <c r="AE35" s="5"/>
      <c r="AF35" s="70"/>
      <c r="AG35" s="5"/>
      <c r="AH35" s="5"/>
      <c r="AI35" s="5"/>
      <c r="AJ35" s="5"/>
      <c r="AK35" s="5"/>
      <c r="AL35" s="56"/>
      <c r="AM35" s="57"/>
      <c r="AN35" s="35"/>
      <c r="AO35" s="35"/>
      <c r="AP35" s="36">
        <f t="shared" si="18"/>
        <v>0</v>
      </c>
      <c r="AQ35" s="78"/>
      <c r="AR35" s="36">
        <f t="shared" si="19"/>
        <v>0</v>
      </c>
      <c r="AS35" s="61">
        <f>AR35*AB88/AE88</f>
        <v>0</v>
      </c>
      <c r="AT35" s="5"/>
      <c r="AU35" s="5"/>
      <c r="AV35" s="5"/>
      <c r="AW35" s="5"/>
      <c r="AX35" s="5"/>
      <c r="AY35" s="5"/>
      <c r="AZ35" s="5"/>
      <c r="BA35" s="40"/>
      <c r="BB35" s="41"/>
      <c r="BC35" s="42"/>
      <c r="BD35" s="35"/>
      <c r="BE35" s="43">
        <f t="shared" si="0"/>
        <v>0</v>
      </c>
      <c r="BF35" s="35"/>
      <c r="BG35" s="44">
        <f t="shared" si="1"/>
        <v>0</v>
      </c>
      <c r="BU35" s="56"/>
      <c r="BV35" s="57"/>
      <c r="BW35" s="35"/>
      <c r="BX35" s="35"/>
      <c r="BY35" s="36">
        <f t="shared" si="22"/>
        <v>0</v>
      </c>
      <c r="BZ35" s="78"/>
      <c r="CA35" s="36">
        <f t="shared" si="23"/>
        <v>0</v>
      </c>
      <c r="CB35" s="38">
        <f>CA35*AB88/AE88</f>
        <v>0</v>
      </c>
      <c r="CC35" s="5"/>
      <c r="CD35" s="5"/>
      <c r="CE35" s="5"/>
      <c r="CF35" s="5"/>
      <c r="CJ35" s="56"/>
      <c r="CK35" s="57"/>
      <c r="CL35" s="35"/>
      <c r="CM35" s="35"/>
      <c r="CN35" s="36">
        <f t="shared" si="20"/>
        <v>0</v>
      </c>
      <c r="CO35" s="104"/>
      <c r="CP35" s="36">
        <f t="shared" si="21"/>
        <v>0</v>
      </c>
      <c r="CQ35" s="38">
        <f>CP35*AB88/AE88</f>
        <v>0</v>
      </c>
      <c r="CR35" s="5"/>
      <c r="CS35" s="5"/>
      <c r="DG35" s="5"/>
    </row>
    <row r="36" spans="2:111" ht="15" customHeight="1" thickBot="1" x14ac:dyDescent="0.3">
      <c r="B36" s="105" t="s">
        <v>102</v>
      </c>
      <c r="C36" s="82">
        <v>6.4</v>
      </c>
      <c r="D36" s="73">
        <f t="shared" si="17"/>
        <v>0</v>
      </c>
      <c r="E36" s="84">
        <f>(E33+E34)*I36%</f>
        <v>0</v>
      </c>
      <c r="F36" s="103"/>
      <c r="H36" s="1" t="s">
        <v>92</v>
      </c>
      <c r="I36" s="107">
        <v>14</v>
      </c>
      <c r="L36" s="174" t="s">
        <v>15</v>
      </c>
      <c r="M36" s="175" t="s">
        <v>16</v>
      </c>
      <c r="N36" s="175" t="s">
        <v>17</v>
      </c>
      <c r="O36" s="14" t="s">
        <v>18</v>
      </c>
      <c r="P36" s="175" t="s">
        <v>19</v>
      </c>
      <c r="Q36" s="175"/>
      <c r="R36" s="175" t="s">
        <v>20</v>
      </c>
      <c r="S36" s="175"/>
      <c r="T36" s="178" t="s">
        <v>21</v>
      </c>
      <c r="U36" s="5"/>
      <c r="W36" s="56"/>
      <c r="X36" s="57"/>
      <c r="Y36" s="35"/>
      <c r="Z36" s="35"/>
      <c r="AA36" s="36">
        <f t="shared" si="12"/>
        <v>0</v>
      </c>
      <c r="AB36" s="78"/>
      <c r="AC36" s="60"/>
      <c r="AD36" s="61">
        <f>AC36*AB88/AE88</f>
        <v>0</v>
      </c>
      <c r="AE36" s="5"/>
      <c r="AF36" s="70"/>
      <c r="AG36" s="5"/>
      <c r="AH36" s="5"/>
      <c r="AI36" s="5"/>
      <c r="AJ36" s="5"/>
      <c r="AK36" s="5"/>
      <c r="AL36" s="56"/>
      <c r="AM36" s="57"/>
      <c r="AN36" s="35"/>
      <c r="AO36" s="35"/>
      <c r="AP36" s="36">
        <f t="shared" si="18"/>
        <v>0</v>
      </c>
      <c r="AQ36" s="78"/>
      <c r="AR36" s="60"/>
      <c r="AS36" s="61">
        <f>AR36*AB88/AE88</f>
        <v>0</v>
      </c>
      <c r="AT36" s="5"/>
      <c r="AU36" s="5"/>
      <c r="AV36" s="5"/>
      <c r="AW36" s="5"/>
      <c r="AX36" s="5"/>
      <c r="AY36" s="5"/>
      <c r="AZ36" s="5"/>
      <c r="BA36" s="173" t="s">
        <v>103</v>
      </c>
      <c r="BB36" s="173"/>
      <c r="BC36" s="173"/>
      <c r="BD36" s="116"/>
      <c r="BE36" s="116"/>
      <c r="BF36" s="116"/>
      <c r="BG36" s="117">
        <f>SUM(BG5:BG35)</f>
        <v>899.47534102833151</v>
      </c>
      <c r="BU36" s="56"/>
      <c r="BV36" s="57"/>
      <c r="BW36" s="35"/>
      <c r="BX36" s="35"/>
      <c r="BY36" s="36">
        <f t="shared" si="22"/>
        <v>0</v>
      </c>
      <c r="BZ36" s="78"/>
      <c r="CA36" s="36">
        <f t="shared" si="23"/>
        <v>0</v>
      </c>
      <c r="CB36" s="38">
        <f>CA36*AB88/AE88</f>
        <v>0</v>
      </c>
      <c r="CC36" s="5"/>
      <c r="CD36" s="5"/>
      <c r="CE36" s="5"/>
      <c r="CF36" s="5"/>
      <c r="CJ36" s="56"/>
      <c r="CK36" s="57"/>
      <c r="CL36" s="35"/>
      <c r="CM36" s="35"/>
      <c r="CN36" s="36">
        <f t="shared" si="20"/>
        <v>0</v>
      </c>
      <c r="CO36" s="104"/>
      <c r="CP36" s="36">
        <f t="shared" si="21"/>
        <v>0</v>
      </c>
      <c r="CQ36" s="38">
        <f>CP36*AB88/AE88</f>
        <v>0</v>
      </c>
      <c r="CR36" s="5"/>
      <c r="CS36" s="5"/>
      <c r="DG36" s="5"/>
    </row>
    <row r="37" spans="2:111" ht="15" customHeight="1" thickBot="1" x14ac:dyDescent="0.3">
      <c r="B37" s="105" t="s">
        <v>104</v>
      </c>
      <c r="C37" s="82">
        <v>6.5</v>
      </c>
      <c r="D37" s="73">
        <f t="shared" si="17"/>
        <v>0</v>
      </c>
      <c r="E37" s="118"/>
      <c r="F37" s="103"/>
      <c r="L37" s="174"/>
      <c r="M37" s="175"/>
      <c r="N37" s="175"/>
      <c r="O37" s="31" t="s">
        <v>43</v>
      </c>
      <c r="P37" s="31" t="s">
        <v>44</v>
      </c>
      <c r="Q37" s="31" t="s">
        <v>45</v>
      </c>
      <c r="R37" s="31" t="s">
        <v>44</v>
      </c>
      <c r="S37" s="31" t="s">
        <v>45</v>
      </c>
      <c r="T37" s="178"/>
      <c r="U37" s="5"/>
      <c r="W37" s="171" t="s">
        <v>21</v>
      </c>
      <c r="X37" s="171"/>
      <c r="Y37" s="171"/>
      <c r="Z37" s="171"/>
      <c r="AA37" s="119">
        <f>SUM(AA5:AA36)</f>
        <v>0</v>
      </c>
      <c r="AB37" s="119"/>
      <c r="AC37" s="119"/>
      <c r="AD37" s="120">
        <f>SUM(AD5:AD36)</f>
        <v>0</v>
      </c>
      <c r="AE37" s="121"/>
      <c r="AF37" s="121"/>
      <c r="AG37" s="121"/>
      <c r="AH37" s="121"/>
      <c r="AI37" s="5"/>
      <c r="AJ37" s="5"/>
      <c r="AK37" s="5"/>
      <c r="AL37" s="171" t="s">
        <v>21</v>
      </c>
      <c r="AM37" s="171"/>
      <c r="AN37" s="171"/>
      <c r="AO37" s="171"/>
      <c r="AP37" s="90">
        <f>SUM(AP5:AP36)</f>
        <v>0</v>
      </c>
      <c r="AQ37" s="119"/>
      <c r="AR37" s="90"/>
      <c r="AS37" s="120">
        <f>SUM(AS5:AS36)</f>
        <v>0</v>
      </c>
      <c r="AT37" s="5"/>
      <c r="AU37" s="5"/>
      <c r="AV37" s="5"/>
      <c r="AW37" s="5"/>
      <c r="AX37" s="5"/>
      <c r="AY37" s="5"/>
      <c r="AZ37" s="5"/>
      <c r="BA37" s="5"/>
      <c r="BB37" s="5"/>
      <c r="BC37" s="10"/>
      <c r="BD37" s="5"/>
      <c r="BE37" s="5"/>
      <c r="BF37" s="5"/>
      <c r="BG37" s="5"/>
      <c r="BU37" s="56"/>
      <c r="BV37" s="57"/>
      <c r="BW37" s="35"/>
      <c r="BX37" s="35"/>
      <c r="BY37" s="36">
        <f t="shared" si="22"/>
        <v>0</v>
      </c>
      <c r="BZ37" s="78"/>
      <c r="CA37" s="36">
        <f t="shared" si="23"/>
        <v>0</v>
      </c>
      <c r="CB37" s="38">
        <f>CA37*AB88/AE88</f>
        <v>0</v>
      </c>
      <c r="CC37" s="5"/>
      <c r="CD37" s="5"/>
      <c r="CE37" s="5"/>
      <c r="CF37" s="5"/>
      <c r="CJ37" s="56"/>
      <c r="CK37" s="57"/>
      <c r="CL37" s="35"/>
      <c r="CM37" s="35"/>
      <c r="CN37" s="36">
        <f t="shared" si="20"/>
        <v>0</v>
      </c>
      <c r="CO37" s="104"/>
      <c r="CP37" s="36">
        <f t="shared" si="21"/>
        <v>0</v>
      </c>
      <c r="CQ37" s="38">
        <f>CP37*AB88/AE88</f>
        <v>0</v>
      </c>
      <c r="CR37" s="5"/>
      <c r="CS37" s="5"/>
      <c r="DG37" s="5"/>
    </row>
    <row r="38" spans="2:111" ht="15" customHeight="1" x14ac:dyDescent="0.2">
      <c r="B38" s="93" t="s">
        <v>105</v>
      </c>
      <c r="C38" s="94">
        <v>7</v>
      </c>
      <c r="D38" s="73">
        <f t="shared" si="17"/>
        <v>1400</v>
      </c>
      <c r="E38" s="95">
        <f>SUM(E39:E44)</f>
        <v>1400</v>
      </c>
      <c r="F38" s="96">
        <f>SUM(F39:F44)</f>
        <v>0</v>
      </c>
      <c r="L38" s="40"/>
      <c r="M38" s="49" t="s">
        <v>106</v>
      </c>
      <c r="N38" s="42" t="s">
        <v>107</v>
      </c>
      <c r="O38" s="42">
        <v>300</v>
      </c>
      <c r="P38" s="35">
        <v>0.01</v>
      </c>
      <c r="Q38" s="35"/>
      <c r="R38" s="50">
        <f>O38*P38</f>
        <v>3</v>
      </c>
      <c r="S38" s="50">
        <f>O38*Q38</f>
        <v>0</v>
      </c>
      <c r="T38" s="51">
        <f>R38+S38</f>
        <v>3</v>
      </c>
      <c r="U38" s="5"/>
      <c r="W38" s="8"/>
      <c r="X38" s="5"/>
      <c r="Y38" s="5"/>
      <c r="Z38" s="9"/>
      <c r="AA38" s="9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/>
      <c r="BB38"/>
      <c r="BC38"/>
      <c r="BD38"/>
      <c r="BE38"/>
      <c r="BF38"/>
      <c r="BG38"/>
      <c r="BU38" s="56"/>
      <c r="BV38" s="57"/>
      <c r="BW38" s="35"/>
      <c r="BX38" s="35"/>
      <c r="BY38" s="36">
        <f t="shared" si="22"/>
        <v>0</v>
      </c>
      <c r="BZ38" s="78"/>
      <c r="CA38" s="36">
        <f t="shared" si="23"/>
        <v>0</v>
      </c>
      <c r="CB38" s="38">
        <f>CA38*AB88/AE88</f>
        <v>0</v>
      </c>
      <c r="CC38" s="5"/>
      <c r="CD38" s="5"/>
      <c r="CE38" s="5"/>
      <c r="CF38" s="5"/>
      <c r="CJ38" s="56"/>
      <c r="CK38" s="57"/>
      <c r="CL38" s="35"/>
      <c r="CM38" s="35"/>
      <c r="CN38" s="36">
        <f t="shared" si="20"/>
        <v>0</v>
      </c>
      <c r="CO38" s="104"/>
      <c r="CP38" s="36">
        <f t="shared" si="21"/>
        <v>0</v>
      </c>
      <c r="CQ38" s="38">
        <f>CP38*AB88/AE88</f>
        <v>0</v>
      </c>
      <c r="CR38" s="5"/>
      <c r="CS38" s="5"/>
      <c r="DG38" s="5"/>
    </row>
    <row r="39" spans="2:111" ht="15" customHeight="1" x14ac:dyDescent="0.2">
      <c r="B39" s="81" t="s">
        <v>108</v>
      </c>
      <c r="C39" s="82">
        <v>7.1</v>
      </c>
      <c r="D39" s="83">
        <f t="shared" si="17"/>
        <v>1400</v>
      </c>
      <c r="E39" s="84">
        <f>CP14</f>
        <v>1400</v>
      </c>
      <c r="F39" s="85">
        <f>CB15</f>
        <v>0</v>
      </c>
      <c r="L39" s="40"/>
      <c r="M39" s="49"/>
      <c r="N39" s="42"/>
      <c r="O39" s="42"/>
      <c r="P39" s="35"/>
      <c r="Q39" s="35"/>
      <c r="R39" s="50">
        <f>O39*P39</f>
        <v>0</v>
      </c>
      <c r="S39" s="50">
        <f>O39*Q39</f>
        <v>0</v>
      </c>
      <c r="T39" s="51">
        <f>R39+S39</f>
        <v>0</v>
      </c>
      <c r="U39" s="5"/>
      <c r="W39" s="8"/>
      <c r="X39" s="5"/>
      <c r="Y39" s="5"/>
      <c r="Z39" s="9"/>
      <c r="AA39" s="9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/>
      <c r="BB39"/>
      <c r="BC39"/>
      <c r="BD39"/>
      <c r="BE39"/>
      <c r="BF39"/>
      <c r="BG39"/>
      <c r="BU39" s="56"/>
      <c r="BV39" s="57"/>
      <c r="BW39" s="35"/>
      <c r="BX39" s="35"/>
      <c r="BY39" s="36">
        <f t="shared" si="22"/>
        <v>0</v>
      </c>
      <c r="BZ39" s="78"/>
      <c r="CA39" s="36">
        <f t="shared" si="23"/>
        <v>0</v>
      </c>
      <c r="CB39" s="38">
        <f>CA39*AB88/AE88</f>
        <v>0</v>
      </c>
      <c r="CC39" s="5"/>
      <c r="CD39" s="5"/>
      <c r="CE39" s="5"/>
      <c r="CF39" s="5"/>
      <c r="CJ39" s="56"/>
      <c r="CK39" s="57"/>
      <c r="CL39" s="35"/>
      <c r="CM39" s="35"/>
      <c r="CN39" s="36">
        <f t="shared" si="20"/>
        <v>0</v>
      </c>
      <c r="CO39" s="104"/>
      <c r="CP39" s="36">
        <f t="shared" si="21"/>
        <v>0</v>
      </c>
      <c r="CQ39" s="38">
        <f>CP39*AB88/AE88</f>
        <v>0</v>
      </c>
      <c r="CR39" s="5"/>
      <c r="CS39" s="5"/>
      <c r="DG39" s="5"/>
    </row>
    <row r="40" spans="2:111" ht="15" customHeight="1" thickBot="1" x14ac:dyDescent="0.25">
      <c r="B40" s="81" t="s">
        <v>109</v>
      </c>
      <c r="C40" s="82">
        <v>7.2</v>
      </c>
      <c r="D40" s="83">
        <f t="shared" si="17"/>
        <v>0</v>
      </c>
      <c r="E40" s="84">
        <f>CP61</f>
        <v>0</v>
      </c>
      <c r="F40" s="85">
        <f>CQ61</f>
        <v>0</v>
      </c>
      <c r="L40" s="122"/>
      <c r="M40" s="123" t="s">
        <v>21</v>
      </c>
      <c r="N40" s="124"/>
      <c r="O40" s="42">
        <v>300</v>
      </c>
      <c r="P40" s="35">
        <v>0.01</v>
      </c>
      <c r="Q40" s="125"/>
      <c r="R40" s="50">
        <f>O40*P40</f>
        <v>3</v>
      </c>
      <c r="S40" s="125">
        <f>SUM(S38:S39)</f>
        <v>0</v>
      </c>
      <c r="T40" s="126">
        <f>SUM(T38:T39)</f>
        <v>3</v>
      </c>
      <c r="U40" s="5"/>
      <c r="W40" s="8"/>
      <c r="X40" s="5"/>
      <c r="Y40" s="5"/>
      <c r="Z40" s="9"/>
      <c r="AA40" s="9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/>
      <c r="BB40"/>
      <c r="BC40"/>
      <c r="BD40"/>
      <c r="BE40"/>
      <c r="BF40"/>
      <c r="BG40"/>
      <c r="BU40" s="56"/>
      <c r="BV40" s="57"/>
      <c r="BW40" s="35"/>
      <c r="BX40" s="35"/>
      <c r="BY40" s="36">
        <f t="shared" si="22"/>
        <v>0</v>
      </c>
      <c r="BZ40" s="78"/>
      <c r="CA40" s="36">
        <f t="shared" si="23"/>
        <v>0</v>
      </c>
      <c r="CB40" s="38">
        <f>CA40*AB88/AE88</f>
        <v>0</v>
      </c>
      <c r="CC40" s="5"/>
      <c r="CD40" s="5"/>
      <c r="CE40" s="5"/>
      <c r="CF40" s="5"/>
      <c r="CJ40" s="56"/>
      <c r="CK40" s="57"/>
      <c r="CL40" s="35"/>
      <c r="CM40" s="35"/>
      <c r="CN40" s="36">
        <f t="shared" si="20"/>
        <v>0</v>
      </c>
      <c r="CO40" s="104"/>
      <c r="CP40" s="60"/>
      <c r="CQ40" s="38">
        <f>CP40*AB88/AE88</f>
        <v>0</v>
      </c>
      <c r="CR40" s="5"/>
      <c r="CS40" s="5"/>
      <c r="DG40" s="5"/>
    </row>
    <row r="41" spans="2:111" ht="15" customHeight="1" thickBot="1" x14ac:dyDescent="0.3">
      <c r="B41" s="81" t="s">
        <v>84</v>
      </c>
      <c r="C41" s="82">
        <v>7.3</v>
      </c>
      <c r="D41" s="83">
        <f t="shared" si="17"/>
        <v>0</v>
      </c>
      <c r="E41" s="84">
        <f>(CQ41+CU93)*D10</f>
        <v>0</v>
      </c>
      <c r="F41" s="85">
        <f>CV93*D10</f>
        <v>0</v>
      </c>
      <c r="L41" s="5"/>
      <c r="M41" s="5"/>
      <c r="N41" s="5"/>
      <c r="O41" s="5"/>
      <c r="P41" s="5"/>
      <c r="Q41" s="5"/>
      <c r="R41" s="5"/>
      <c r="S41" s="5"/>
      <c r="T41" s="5"/>
      <c r="U41" s="5"/>
      <c r="W41" s="182" t="s">
        <v>110</v>
      </c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5"/>
      <c r="AK41" s="5"/>
      <c r="AL41" s="182" t="s">
        <v>111</v>
      </c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5"/>
      <c r="AZ41" s="5"/>
      <c r="BA41" s="172" t="s">
        <v>112</v>
      </c>
      <c r="BB41" s="172"/>
      <c r="BC41" s="172"/>
      <c r="BD41" s="172"/>
      <c r="BE41" s="172"/>
      <c r="BF41" s="172"/>
      <c r="BG41" s="172"/>
      <c r="BU41" s="56"/>
      <c r="BV41" s="57"/>
      <c r="BW41" s="35"/>
      <c r="BX41" s="35"/>
      <c r="BY41" s="36">
        <f t="shared" si="22"/>
        <v>0</v>
      </c>
      <c r="BZ41" s="78"/>
      <c r="CA41" s="60"/>
      <c r="CB41" s="38">
        <f>CA41*AB88/AE88</f>
        <v>0</v>
      </c>
      <c r="CC41" s="5"/>
      <c r="CD41" s="5"/>
      <c r="CE41" s="5"/>
      <c r="CF41" s="5"/>
      <c r="CJ41" s="171" t="s">
        <v>21</v>
      </c>
      <c r="CK41" s="171"/>
      <c r="CL41" s="171"/>
      <c r="CM41" s="171"/>
      <c r="CN41" s="90">
        <f>SUM(CN21:CN40)</f>
        <v>0</v>
      </c>
      <c r="CO41" s="119"/>
      <c r="CP41" s="90"/>
      <c r="CQ41" s="120">
        <f>SUM(CQ21:CQ40)</f>
        <v>0</v>
      </c>
      <c r="CR41" s="5"/>
      <c r="CS41" s="5"/>
      <c r="DG41" s="5"/>
    </row>
    <row r="42" spans="2:111" ht="15" customHeight="1" thickBot="1" x14ac:dyDescent="0.3">
      <c r="B42" s="81" t="s">
        <v>113</v>
      </c>
      <c r="C42" s="82">
        <v>7.4</v>
      </c>
      <c r="D42" s="83">
        <f t="shared" si="17"/>
        <v>0</v>
      </c>
      <c r="E42" s="106"/>
      <c r="F42" s="85">
        <f>CX15*D10</f>
        <v>0</v>
      </c>
      <c r="L42" s="5"/>
      <c r="M42" s="5"/>
      <c r="N42" s="5"/>
      <c r="O42" s="5"/>
      <c r="P42" s="5"/>
      <c r="Q42" s="5"/>
      <c r="R42" s="5"/>
      <c r="S42" s="5"/>
      <c r="T42" s="5"/>
      <c r="U42" s="5"/>
      <c r="W42" s="8"/>
      <c r="X42" s="5"/>
      <c r="Y42" s="5"/>
      <c r="Z42" s="9"/>
      <c r="AA42" s="9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8"/>
      <c r="AM42" s="5"/>
      <c r="AN42" s="5"/>
      <c r="AO42" s="9"/>
      <c r="AP42" s="9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10"/>
      <c r="BD42" s="5"/>
      <c r="BE42" s="5"/>
      <c r="BF42" s="5"/>
      <c r="BG42" s="5"/>
      <c r="BU42" s="171" t="s">
        <v>21</v>
      </c>
      <c r="BV42" s="171"/>
      <c r="BW42" s="171"/>
      <c r="BX42" s="171"/>
      <c r="BY42" s="119">
        <f>SUM(BY22:BY41)</f>
        <v>0</v>
      </c>
      <c r="BZ42" s="119"/>
      <c r="CA42" s="90"/>
      <c r="CB42" s="120">
        <f>SUM(CB22:CB41)</f>
        <v>0</v>
      </c>
      <c r="CC42" s="5"/>
      <c r="CD42" s="5"/>
      <c r="CE42" s="5"/>
      <c r="CF42" s="5"/>
      <c r="CJ42" s="5"/>
      <c r="CK42" s="5"/>
      <c r="CL42" s="5"/>
      <c r="CM42" s="5"/>
      <c r="CN42" s="5"/>
      <c r="CO42" s="5"/>
      <c r="CP42" s="127"/>
      <c r="CQ42" s="127"/>
      <c r="CR42" s="5"/>
      <c r="CS42" s="5"/>
      <c r="DG42" s="5"/>
    </row>
    <row r="43" spans="2:111" ht="33.6" customHeight="1" x14ac:dyDescent="0.25">
      <c r="B43" s="105" t="s">
        <v>114</v>
      </c>
      <c r="C43" s="82">
        <v>7.5</v>
      </c>
      <c r="D43" s="83">
        <f t="shared" si="17"/>
        <v>0</v>
      </c>
      <c r="E43" s="106"/>
      <c r="F43" s="103"/>
      <c r="L43" s="5"/>
      <c r="M43" s="5"/>
      <c r="N43" s="5"/>
      <c r="O43" s="5"/>
      <c r="P43" s="5"/>
      <c r="Q43" s="5"/>
      <c r="R43" s="5"/>
      <c r="S43" s="5"/>
      <c r="T43" s="5"/>
      <c r="U43" s="5"/>
      <c r="W43" s="15" t="s">
        <v>22</v>
      </c>
      <c r="X43" s="16" t="s">
        <v>23</v>
      </c>
      <c r="Y43" s="179" t="s">
        <v>24</v>
      </c>
      <c r="Z43" s="179"/>
      <c r="AA43" s="180" t="s">
        <v>115</v>
      </c>
      <c r="AB43" s="180"/>
      <c r="AC43" s="180" t="s">
        <v>26</v>
      </c>
      <c r="AD43" s="180"/>
      <c r="AE43" s="16" t="s">
        <v>116</v>
      </c>
      <c r="AF43" s="180" t="s">
        <v>28</v>
      </c>
      <c r="AG43" s="180"/>
      <c r="AH43" s="181" t="s">
        <v>117</v>
      </c>
      <c r="AI43" s="181"/>
      <c r="AJ43" s="5"/>
      <c r="AK43" s="5"/>
      <c r="AL43" s="15" t="s">
        <v>22</v>
      </c>
      <c r="AM43" s="16" t="s">
        <v>23</v>
      </c>
      <c r="AN43" s="179" t="s">
        <v>24</v>
      </c>
      <c r="AO43" s="179"/>
      <c r="AP43" s="180" t="s">
        <v>88</v>
      </c>
      <c r="AQ43" s="180"/>
      <c r="AR43" s="180" t="s">
        <v>26</v>
      </c>
      <c r="AS43" s="180"/>
      <c r="AT43" s="16" t="s">
        <v>116</v>
      </c>
      <c r="AU43" s="180" t="s">
        <v>28</v>
      </c>
      <c r="AV43" s="180"/>
      <c r="AW43" s="181" t="s">
        <v>117</v>
      </c>
      <c r="AX43" s="181"/>
      <c r="AY43" s="5"/>
      <c r="AZ43" s="5"/>
      <c r="BA43" s="21" t="s">
        <v>31</v>
      </c>
      <c r="BB43" s="22" t="s">
        <v>32</v>
      </c>
      <c r="BC43" s="23" t="s">
        <v>33</v>
      </c>
      <c r="BD43" s="23" t="s">
        <v>34</v>
      </c>
      <c r="BE43" s="23" t="s">
        <v>35</v>
      </c>
      <c r="BF43" s="23" t="s">
        <v>36</v>
      </c>
      <c r="BG43" s="24" t="s">
        <v>37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DG43" s="5"/>
    </row>
    <row r="44" spans="2:111" ht="15" customHeight="1" x14ac:dyDescent="0.25">
      <c r="B44" s="105" t="s">
        <v>118</v>
      </c>
      <c r="C44" s="82">
        <v>7.6</v>
      </c>
      <c r="D44" s="83">
        <f t="shared" si="17"/>
        <v>0</v>
      </c>
      <c r="E44" s="106"/>
      <c r="F44" s="103"/>
      <c r="L44" s="5"/>
      <c r="M44" s="5"/>
      <c r="N44" s="5"/>
      <c r="O44" s="5"/>
      <c r="P44" s="5"/>
      <c r="Q44" s="5"/>
      <c r="R44" s="5"/>
      <c r="S44" s="5"/>
      <c r="T44" s="5"/>
      <c r="U44" s="5"/>
      <c r="W44" s="128"/>
      <c r="X44" s="129"/>
      <c r="Y44" s="130" t="s">
        <v>119</v>
      </c>
      <c r="Z44" s="131" t="s">
        <v>45</v>
      </c>
      <c r="AA44" s="130" t="s">
        <v>119</v>
      </c>
      <c r="AB44" s="131" t="s">
        <v>45</v>
      </c>
      <c r="AC44" s="130" t="s">
        <v>119</v>
      </c>
      <c r="AD44" s="131" t="s">
        <v>45</v>
      </c>
      <c r="AE44" s="131" t="s">
        <v>120</v>
      </c>
      <c r="AF44" s="130" t="s">
        <v>119</v>
      </c>
      <c r="AG44" s="131" t="s">
        <v>45</v>
      </c>
      <c r="AH44" s="130" t="s">
        <v>119</v>
      </c>
      <c r="AI44" s="132" t="s">
        <v>45</v>
      </c>
      <c r="AJ44" s="5"/>
      <c r="AK44" s="5"/>
      <c r="AL44" s="128"/>
      <c r="AM44" s="129"/>
      <c r="AN44" s="130" t="s">
        <v>119</v>
      </c>
      <c r="AO44" s="131" t="s">
        <v>45</v>
      </c>
      <c r="AP44" s="130" t="s">
        <v>119</v>
      </c>
      <c r="AQ44" s="131" t="s">
        <v>45</v>
      </c>
      <c r="AR44" s="130" t="s">
        <v>119</v>
      </c>
      <c r="AS44" s="131" t="s">
        <v>45</v>
      </c>
      <c r="AT44" s="131" t="s">
        <v>120</v>
      </c>
      <c r="AU44" s="130" t="s">
        <v>119</v>
      </c>
      <c r="AV44" s="131" t="s">
        <v>45</v>
      </c>
      <c r="AW44" s="130" t="s">
        <v>119</v>
      </c>
      <c r="AX44" s="132" t="s">
        <v>45</v>
      </c>
      <c r="AY44" s="5"/>
      <c r="AZ44" s="5"/>
      <c r="BA44" s="40"/>
      <c r="BB44" s="41"/>
      <c r="BC44" s="42"/>
      <c r="BD44" s="35"/>
      <c r="BE44" s="43">
        <f t="shared" ref="BE44:BE54" si="24">BD44/190.6</f>
        <v>0</v>
      </c>
      <c r="BF44" s="35"/>
      <c r="BG44" s="44">
        <f t="shared" ref="BG44:BG54" si="25">BE44*BF44*BB44</f>
        <v>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</row>
    <row r="45" spans="2:111" ht="15" customHeight="1" x14ac:dyDescent="0.25">
      <c r="B45" s="93" t="s">
        <v>11</v>
      </c>
      <c r="C45" s="94">
        <v>8</v>
      </c>
      <c r="D45" s="73">
        <f t="shared" si="17"/>
        <v>0</v>
      </c>
      <c r="E45" s="95">
        <f>SUM(E46:E50)</f>
        <v>0</v>
      </c>
      <c r="F45" s="96">
        <f>SUM(F46:F50)</f>
        <v>0</v>
      </c>
      <c r="L45" s="172" t="s">
        <v>121</v>
      </c>
      <c r="M45" s="172"/>
      <c r="N45" s="172"/>
      <c r="O45" s="172"/>
      <c r="P45" s="172"/>
      <c r="Q45" s="172"/>
      <c r="R45" s="172"/>
      <c r="S45" s="172"/>
      <c r="T45" s="172"/>
      <c r="U45" s="5"/>
      <c r="W45" s="56"/>
      <c r="X45" s="133" t="s">
        <v>152</v>
      </c>
      <c r="Y45" s="35">
        <v>10107.5</v>
      </c>
      <c r="Z45" s="35"/>
      <c r="AA45" s="35"/>
      <c r="AB45" s="35"/>
      <c r="AC45" s="60">
        <f t="shared" ref="AC45:AD54" si="26">Y45-AA45</f>
        <v>10107.5</v>
      </c>
      <c r="AD45" s="60">
        <f t="shared" si="26"/>
        <v>0</v>
      </c>
      <c r="AE45" s="78">
        <v>6</v>
      </c>
      <c r="AF45" s="60">
        <f t="shared" ref="AF45:AF54" si="27">AC45*AE45%</f>
        <v>606.44999999999993</v>
      </c>
      <c r="AG45" s="60">
        <f t="shared" ref="AG45:AG54" si="28">AD45*AE45%</f>
        <v>0</v>
      </c>
      <c r="AH45" s="134">
        <f>AF45*AB88/AE88</f>
        <v>8.7738715277777771E-4</v>
      </c>
      <c r="AI45" s="61">
        <f>AG45*AB88/AE88</f>
        <v>0</v>
      </c>
      <c r="AJ45" s="5"/>
      <c r="AK45" s="5"/>
      <c r="AL45" s="56"/>
      <c r="AM45" s="57"/>
      <c r="AN45" s="35"/>
      <c r="AO45" s="35"/>
      <c r="AP45" s="35"/>
      <c r="AQ45" s="35"/>
      <c r="AR45" s="60">
        <f t="shared" ref="AR45:AS54" si="29">AN45-AP45</f>
        <v>0</v>
      </c>
      <c r="AS45" s="60">
        <f t="shared" si="29"/>
        <v>0</v>
      </c>
      <c r="AT45" s="78">
        <v>6</v>
      </c>
      <c r="AU45" s="60">
        <f t="shared" ref="AU45:AU54" si="30">AR45*AT45%</f>
        <v>0</v>
      </c>
      <c r="AV45" s="60">
        <f t="shared" ref="AV45:AV54" si="31">AS45*AT45%</f>
        <v>0</v>
      </c>
      <c r="AW45" s="134">
        <f>AU45*AB88/AE88</f>
        <v>0</v>
      </c>
      <c r="AX45" s="61">
        <f>AV45*AB88/AE88</f>
        <v>0</v>
      </c>
      <c r="AY45" s="5"/>
      <c r="AZ45" s="5"/>
      <c r="BA45" s="40"/>
      <c r="BB45" s="41"/>
      <c r="BC45" s="42"/>
      <c r="BD45" s="35"/>
      <c r="BE45" s="43">
        <f t="shared" si="24"/>
        <v>0</v>
      </c>
      <c r="BF45" s="35"/>
      <c r="BG45" s="44">
        <f t="shared" si="25"/>
        <v>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</row>
    <row r="46" spans="2:111" ht="15" customHeight="1" thickBot="1" x14ac:dyDescent="0.25">
      <c r="B46" s="81" t="s">
        <v>108</v>
      </c>
      <c r="C46" s="82">
        <v>8.1</v>
      </c>
      <c r="D46" s="83">
        <f t="shared" si="17"/>
        <v>0</v>
      </c>
      <c r="E46" s="84">
        <f>CA15</f>
        <v>0</v>
      </c>
      <c r="F46" s="85">
        <f>CB15</f>
        <v>0</v>
      </c>
      <c r="L46" s="5"/>
      <c r="M46" s="5"/>
      <c r="N46" s="5"/>
      <c r="O46" s="5"/>
      <c r="P46" s="5"/>
      <c r="Q46" s="5"/>
      <c r="R46" s="5"/>
      <c r="S46" s="5"/>
      <c r="T46" s="5"/>
      <c r="U46" s="5"/>
      <c r="W46" s="56"/>
      <c r="X46" s="57" t="s">
        <v>122</v>
      </c>
      <c r="Y46" s="35">
        <v>7628.1</v>
      </c>
      <c r="Z46" s="35"/>
      <c r="AA46" s="35"/>
      <c r="AB46" s="35"/>
      <c r="AC46" s="60">
        <f t="shared" si="26"/>
        <v>7628.1</v>
      </c>
      <c r="AD46" s="60">
        <f t="shared" si="26"/>
        <v>0</v>
      </c>
      <c r="AE46" s="78">
        <v>6</v>
      </c>
      <c r="AF46" s="60">
        <f t="shared" si="27"/>
        <v>457.68599999999998</v>
      </c>
      <c r="AG46" s="60">
        <f t="shared" si="28"/>
        <v>0</v>
      </c>
      <c r="AH46" s="134">
        <f>AF46*AB88/AE88</f>
        <v>6.6216145833333329E-4</v>
      </c>
      <c r="AI46" s="61">
        <f>AG46*AB88/AE88</f>
        <v>0</v>
      </c>
      <c r="AJ46" s="5"/>
      <c r="AK46" s="5"/>
      <c r="AL46" s="56"/>
      <c r="AM46" s="57"/>
      <c r="AN46" s="35"/>
      <c r="AO46" s="35"/>
      <c r="AP46" s="35"/>
      <c r="AQ46" s="35"/>
      <c r="AR46" s="60">
        <f t="shared" si="29"/>
        <v>0</v>
      </c>
      <c r="AS46" s="60">
        <f t="shared" si="29"/>
        <v>0</v>
      </c>
      <c r="AT46" s="78">
        <v>6</v>
      </c>
      <c r="AU46" s="60">
        <f t="shared" si="30"/>
        <v>0</v>
      </c>
      <c r="AV46" s="60">
        <f t="shared" si="31"/>
        <v>0</v>
      </c>
      <c r="AW46" s="134">
        <f>AU46*AB88/AE88</f>
        <v>0</v>
      </c>
      <c r="AX46" s="61">
        <f>AV46*AB88/AE88</f>
        <v>0</v>
      </c>
      <c r="AY46" s="5"/>
      <c r="AZ46" s="5"/>
      <c r="BA46" s="40"/>
      <c r="BB46" s="41"/>
      <c r="BC46" s="42"/>
      <c r="BD46" s="35"/>
      <c r="BE46" s="43">
        <f t="shared" si="24"/>
        <v>0</v>
      </c>
      <c r="BF46" s="35"/>
      <c r="BG46" s="44">
        <f t="shared" si="25"/>
        <v>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</row>
    <row r="47" spans="2:111" ht="15" customHeight="1" thickBot="1" x14ac:dyDescent="0.3">
      <c r="B47" s="81" t="s">
        <v>109</v>
      </c>
      <c r="C47" s="82">
        <v>8.1999999999999993</v>
      </c>
      <c r="D47" s="83">
        <f t="shared" si="17"/>
        <v>0</v>
      </c>
      <c r="E47" s="84">
        <f>CA62</f>
        <v>0</v>
      </c>
      <c r="F47" s="85">
        <f>CB62</f>
        <v>0</v>
      </c>
      <c r="L47" s="200" t="s">
        <v>38</v>
      </c>
      <c r="M47" s="201" t="s">
        <v>123</v>
      </c>
      <c r="N47" s="202" t="s">
        <v>124</v>
      </c>
      <c r="O47" s="202" t="s">
        <v>125</v>
      </c>
      <c r="P47" s="201" t="s">
        <v>19</v>
      </c>
      <c r="Q47" s="201"/>
      <c r="R47" s="201" t="s">
        <v>20</v>
      </c>
      <c r="S47" s="201"/>
      <c r="T47" s="203" t="s">
        <v>21</v>
      </c>
      <c r="U47" s="5"/>
      <c r="W47" s="56"/>
      <c r="X47" s="57" t="s">
        <v>126</v>
      </c>
      <c r="Y47" s="35">
        <v>5434.3140000000003</v>
      </c>
      <c r="Z47" s="35"/>
      <c r="AA47" s="35"/>
      <c r="AB47" s="35"/>
      <c r="AC47" s="60">
        <f t="shared" si="26"/>
        <v>5434.3140000000003</v>
      </c>
      <c r="AD47" s="60">
        <f t="shared" si="26"/>
        <v>0</v>
      </c>
      <c r="AE47" s="78">
        <v>3</v>
      </c>
      <c r="AF47" s="60">
        <f t="shared" si="27"/>
        <v>163.02942000000002</v>
      </c>
      <c r="AG47" s="60">
        <f t="shared" si="28"/>
        <v>0</v>
      </c>
      <c r="AH47" s="134">
        <f>AF47*AB88/AE88</f>
        <v>2.3586432291666668E-4</v>
      </c>
      <c r="AI47" s="61">
        <f>AG47*AB88/AE88</f>
        <v>0</v>
      </c>
      <c r="AJ47" s="5"/>
      <c r="AK47" s="5"/>
      <c r="AL47" s="56"/>
      <c r="AM47" s="57"/>
      <c r="AN47" s="35"/>
      <c r="AO47" s="35"/>
      <c r="AP47" s="35"/>
      <c r="AQ47" s="35"/>
      <c r="AR47" s="60">
        <f t="shared" si="29"/>
        <v>0</v>
      </c>
      <c r="AS47" s="60">
        <f t="shared" si="29"/>
        <v>0</v>
      </c>
      <c r="AT47" s="78">
        <v>3</v>
      </c>
      <c r="AU47" s="60">
        <f t="shared" si="30"/>
        <v>0</v>
      </c>
      <c r="AV47" s="60">
        <f t="shared" si="31"/>
        <v>0</v>
      </c>
      <c r="AW47" s="134">
        <f>AU47*AB88/AE88</f>
        <v>0</v>
      </c>
      <c r="AX47" s="61">
        <f>AV47*AB88/AE88</f>
        <v>0</v>
      </c>
      <c r="AY47" s="5"/>
      <c r="AZ47" s="5"/>
      <c r="BA47" s="40"/>
      <c r="BB47" s="41"/>
      <c r="BC47" s="42"/>
      <c r="BD47" s="35"/>
      <c r="BE47" s="43">
        <f t="shared" si="24"/>
        <v>0</v>
      </c>
      <c r="BF47" s="35"/>
      <c r="BG47" s="44">
        <f t="shared" si="25"/>
        <v>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J47" s="172" t="s">
        <v>121</v>
      </c>
      <c r="CK47" s="172"/>
      <c r="CL47" s="172"/>
      <c r="CM47" s="172"/>
      <c r="CN47" s="172"/>
      <c r="CO47" s="172"/>
      <c r="CP47" s="172"/>
      <c r="CQ47" s="172"/>
      <c r="CR47" s="172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</row>
    <row r="48" spans="2:111" ht="15" customHeight="1" thickBot="1" x14ac:dyDescent="0.3">
      <c r="B48" s="81" t="s">
        <v>84</v>
      </c>
      <c r="C48" s="82">
        <v>8.3000000000000007</v>
      </c>
      <c r="D48" s="83">
        <f t="shared" si="17"/>
        <v>0</v>
      </c>
      <c r="E48" s="84">
        <f>(CB42+CF92)*D10</f>
        <v>0</v>
      </c>
      <c r="F48" s="85">
        <f>CG92*D10</f>
        <v>0</v>
      </c>
      <c r="L48" s="200"/>
      <c r="M48" s="201"/>
      <c r="N48" s="202"/>
      <c r="O48" s="202"/>
      <c r="P48" s="45" t="s">
        <v>44</v>
      </c>
      <c r="Q48" s="45" t="s">
        <v>45</v>
      </c>
      <c r="R48" s="45" t="s">
        <v>44</v>
      </c>
      <c r="S48" s="45" t="s">
        <v>45</v>
      </c>
      <c r="T48" s="203"/>
      <c r="U48" s="5"/>
      <c r="W48" s="56"/>
      <c r="X48" s="57" t="s">
        <v>153</v>
      </c>
      <c r="Y48" s="35">
        <v>777.49</v>
      </c>
      <c r="Z48" s="35"/>
      <c r="AA48" s="35"/>
      <c r="AB48" s="35"/>
      <c r="AC48" s="60">
        <f t="shared" si="26"/>
        <v>777.49</v>
      </c>
      <c r="AD48" s="60">
        <f t="shared" si="26"/>
        <v>0</v>
      </c>
      <c r="AE48" s="78">
        <v>3</v>
      </c>
      <c r="AF48" s="60">
        <f t="shared" si="27"/>
        <v>23.3247</v>
      </c>
      <c r="AG48" s="60">
        <f t="shared" si="28"/>
        <v>0</v>
      </c>
      <c r="AH48" s="134">
        <f>AF48*AB88/AE88</f>
        <v>3.3745225694444446E-5</v>
      </c>
      <c r="AI48" s="61">
        <f>AG48*AB88/AE88</f>
        <v>0</v>
      </c>
      <c r="AJ48" s="5"/>
      <c r="AK48" s="5"/>
      <c r="AL48" s="56"/>
      <c r="AM48" s="57"/>
      <c r="AN48" s="35"/>
      <c r="AO48" s="35"/>
      <c r="AP48" s="35"/>
      <c r="AQ48" s="35"/>
      <c r="AR48" s="60">
        <f t="shared" si="29"/>
        <v>0</v>
      </c>
      <c r="AS48" s="60">
        <f t="shared" si="29"/>
        <v>0</v>
      </c>
      <c r="AT48" s="78">
        <v>3</v>
      </c>
      <c r="AU48" s="60">
        <f t="shared" si="30"/>
        <v>0</v>
      </c>
      <c r="AV48" s="60">
        <f t="shared" si="31"/>
        <v>0</v>
      </c>
      <c r="AW48" s="134">
        <f>AU48*AB88/AE88</f>
        <v>0</v>
      </c>
      <c r="AX48" s="61">
        <f>AV48*AB88/AE88</f>
        <v>0</v>
      </c>
      <c r="AY48" s="5"/>
      <c r="AZ48" s="5"/>
      <c r="BA48" s="40"/>
      <c r="BB48" s="41"/>
      <c r="BC48" s="42"/>
      <c r="BD48" s="35"/>
      <c r="BE48" s="43">
        <f t="shared" si="24"/>
        <v>0</v>
      </c>
      <c r="BF48" s="35"/>
      <c r="BG48" s="44">
        <f t="shared" si="25"/>
        <v>0</v>
      </c>
      <c r="BU48" s="172" t="s">
        <v>121</v>
      </c>
      <c r="BV48" s="172"/>
      <c r="BW48" s="172"/>
      <c r="BX48" s="172"/>
      <c r="BY48" s="172"/>
      <c r="BZ48" s="172"/>
      <c r="CA48" s="172"/>
      <c r="CB48" s="172"/>
      <c r="CC48" s="172"/>
      <c r="CD48" s="5"/>
      <c r="CE48" s="5"/>
      <c r="CF48" s="5"/>
      <c r="CG48" s="5"/>
      <c r="CH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</row>
    <row r="49" spans="2:111" ht="15" customHeight="1" thickBot="1" x14ac:dyDescent="0.3">
      <c r="B49" s="81" t="s">
        <v>127</v>
      </c>
      <c r="C49" s="82">
        <v>8.4</v>
      </c>
      <c r="D49" s="83">
        <f t="shared" si="17"/>
        <v>0</v>
      </c>
      <c r="E49" s="106"/>
      <c r="F49" s="85">
        <f>DA15*D10</f>
        <v>0</v>
      </c>
      <c r="L49" s="40"/>
      <c r="M49" s="133" t="s">
        <v>152</v>
      </c>
      <c r="N49" s="42">
        <v>1</v>
      </c>
      <c r="O49" s="42">
        <v>8</v>
      </c>
      <c r="P49" s="35">
        <v>0.18</v>
      </c>
      <c r="Q49" s="35">
        <v>0</v>
      </c>
      <c r="R49" s="53">
        <f t="shared" ref="R49:R54" si="32">N49*O49*P49</f>
        <v>1.44</v>
      </c>
      <c r="S49" s="53">
        <f t="shared" ref="S49:S54" si="33">N49*O49*Q49</f>
        <v>0</v>
      </c>
      <c r="T49" s="44">
        <f t="shared" ref="T49:T54" si="34">R49+S49</f>
        <v>1.44</v>
      </c>
      <c r="U49" s="5"/>
      <c r="W49" s="56"/>
      <c r="X49" s="57" t="s">
        <v>128</v>
      </c>
      <c r="Y49" s="35">
        <v>1999</v>
      </c>
      <c r="Z49" s="35"/>
      <c r="AA49" s="35"/>
      <c r="AB49" s="35"/>
      <c r="AC49" s="60">
        <f t="shared" si="26"/>
        <v>1999</v>
      </c>
      <c r="AD49" s="60">
        <f t="shared" si="26"/>
        <v>0</v>
      </c>
      <c r="AE49" s="78">
        <v>3</v>
      </c>
      <c r="AF49" s="60">
        <f t="shared" si="27"/>
        <v>59.97</v>
      </c>
      <c r="AG49" s="60">
        <f t="shared" si="28"/>
        <v>0</v>
      </c>
      <c r="AH49" s="134">
        <f>AF49*AB88/AE88</f>
        <v>8.6762152777777781E-5</v>
      </c>
      <c r="AI49" s="61">
        <f>AG49*AB88/AE88</f>
        <v>0</v>
      </c>
      <c r="AJ49" s="5"/>
      <c r="AK49" s="5"/>
      <c r="AL49" s="56"/>
      <c r="AM49" s="57"/>
      <c r="AN49" s="35"/>
      <c r="AO49" s="35"/>
      <c r="AP49" s="35"/>
      <c r="AQ49" s="35"/>
      <c r="AR49" s="60">
        <f t="shared" si="29"/>
        <v>0</v>
      </c>
      <c r="AS49" s="60">
        <f t="shared" si="29"/>
        <v>0</v>
      </c>
      <c r="AT49" s="78">
        <v>3</v>
      </c>
      <c r="AU49" s="60">
        <f t="shared" si="30"/>
        <v>0</v>
      </c>
      <c r="AV49" s="60">
        <f t="shared" si="31"/>
        <v>0</v>
      </c>
      <c r="AW49" s="134">
        <f>AU49*AB88/AE88</f>
        <v>0</v>
      </c>
      <c r="AX49" s="61">
        <f>AV49*AB88/AE88</f>
        <v>0</v>
      </c>
      <c r="AY49" s="5"/>
      <c r="AZ49" s="5"/>
      <c r="BA49" s="40"/>
      <c r="BB49" s="41"/>
      <c r="BC49" s="42"/>
      <c r="BD49" s="35"/>
      <c r="BE49" s="43">
        <f t="shared" si="24"/>
        <v>0</v>
      </c>
      <c r="BF49" s="35"/>
      <c r="BG49" s="44">
        <f t="shared" si="25"/>
        <v>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J49" s="199" t="s">
        <v>38</v>
      </c>
      <c r="CK49" s="197" t="s">
        <v>123</v>
      </c>
      <c r="CL49" s="180" t="s">
        <v>129</v>
      </c>
      <c r="CM49" s="180" t="s">
        <v>36</v>
      </c>
      <c r="CN49" s="197" t="s">
        <v>19</v>
      </c>
      <c r="CO49" s="197"/>
      <c r="CP49" s="197" t="s">
        <v>20</v>
      </c>
      <c r="CQ49" s="197"/>
      <c r="CR49" s="198" t="s">
        <v>21</v>
      </c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</row>
    <row r="50" spans="2:111" ht="15" customHeight="1" thickBot="1" x14ac:dyDescent="0.3">
      <c r="B50" s="105" t="s">
        <v>118</v>
      </c>
      <c r="C50" s="82">
        <v>8.5</v>
      </c>
      <c r="D50" s="83">
        <f t="shared" si="17"/>
        <v>0</v>
      </c>
      <c r="E50" s="106"/>
      <c r="F50" s="135"/>
      <c r="L50" s="40"/>
      <c r="M50" s="57" t="s">
        <v>122</v>
      </c>
      <c r="N50" s="42">
        <v>1</v>
      </c>
      <c r="O50" s="42">
        <v>8</v>
      </c>
      <c r="P50" s="35">
        <v>0.18</v>
      </c>
      <c r="Q50" s="35"/>
      <c r="R50" s="53">
        <f t="shared" si="32"/>
        <v>1.44</v>
      </c>
      <c r="S50" s="53">
        <f t="shared" si="33"/>
        <v>0</v>
      </c>
      <c r="T50" s="44">
        <f t="shared" si="34"/>
        <v>1.44</v>
      </c>
      <c r="U50" s="5"/>
      <c r="W50" s="56"/>
      <c r="X50" s="57"/>
      <c r="Y50" s="35"/>
      <c r="Z50" s="35"/>
      <c r="AA50" s="35"/>
      <c r="AB50" s="35"/>
      <c r="AC50" s="60">
        <f t="shared" si="26"/>
        <v>0</v>
      </c>
      <c r="AD50" s="60">
        <f t="shared" si="26"/>
        <v>0</v>
      </c>
      <c r="AE50" s="78"/>
      <c r="AF50" s="60">
        <f t="shared" si="27"/>
        <v>0</v>
      </c>
      <c r="AG50" s="60">
        <f t="shared" si="28"/>
        <v>0</v>
      </c>
      <c r="AH50" s="134">
        <f>AF50*AB88/AE88</f>
        <v>0</v>
      </c>
      <c r="AI50" s="61">
        <f>AG50*AB88/AE88</f>
        <v>0</v>
      </c>
      <c r="AJ50" s="5"/>
      <c r="AK50" s="5"/>
      <c r="AL50" s="56"/>
      <c r="AM50" s="57"/>
      <c r="AN50" s="35"/>
      <c r="AO50" s="35"/>
      <c r="AP50" s="35"/>
      <c r="AQ50" s="35"/>
      <c r="AR50" s="60">
        <f t="shared" si="29"/>
        <v>0</v>
      </c>
      <c r="AS50" s="60">
        <f t="shared" si="29"/>
        <v>0</v>
      </c>
      <c r="AT50" s="78"/>
      <c r="AU50" s="60">
        <f t="shared" si="30"/>
        <v>0</v>
      </c>
      <c r="AV50" s="60">
        <f t="shared" si="31"/>
        <v>0</v>
      </c>
      <c r="AW50" s="134">
        <f>AU50*AB88/AE88</f>
        <v>0</v>
      </c>
      <c r="AX50" s="61">
        <f>AV50*AB88/AE88</f>
        <v>0</v>
      </c>
      <c r="AY50" s="5"/>
      <c r="AZ50" s="5"/>
      <c r="BA50" s="40"/>
      <c r="BB50" s="41"/>
      <c r="BC50" s="42"/>
      <c r="BD50" s="35"/>
      <c r="BE50" s="43">
        <f t="shared" si="24"/>
        <v>0</v>
      </c>
      <c r="BF50" s="35"/>
      <c r="BG50" s="44">
        <f t="shared" si="25"/>
        <v>0</v>
      </c>
      <c r="BU50" s="199" t="s">
        <v>38</v>
      </c>
      <c r="BV50" s="197" t="s">
        <v>123</v>
      </c>
      <c r="BW50" s="180" t="s">
        <v>129</v>
      </c>
      <c r="BX50" s="180" t="s">
        <v>36</v>
      </c>
      <c r="BY50" s="197" t="s">
        <v>19</v>
      </c>
      <c r="BZ50" s="197"/>
      <c r="CA50" s="197" t="s">
        <v>20</v>
      </c>
      <c r="CB50" s="197"/>
      <c r="CC50" s="198" t="s">
        <v>21</v>
      </c>
      <c r="CD50" s="5"/>
      <c r="CE50" s="5"/>
      <c r="CF50" s="5"/>
      <c r="CG50" s="5"/>
      <c r="CH50" s="5"/>
      <c r="CJ50" s="199"/>
      <c r="CK50" s="197"/>
      <c r="CL50" s="180"/>
      <c r="CM50" s="180"/>
      <c r="CN50" s="54" t="s">
        <v>44</v>
      </c>
      <c r="CO50" s="54" t="s">
        <v>130</v>
      </c>
      <c r="CP50" s="54" t="s">
        <v>44</v>
      </c>
      <c r="CQ50" s="54" t="s">
        <v>130</v>
      </c>
      <c r="CR50" s="198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</row>
    <row r="51" spans="2:111" ht="15" customHeight="1" x14ac:dyDescent="0.25">
      <c r="B51" s="93" t="s">
        <v>131</v>
      </c>
      <c r="C51" s="94">
        <v>9</v>
      </c>
      <c r="D51" s="83">
        <f t="shared" si="17"/>
        <v>0.19753086419753099</v>
      </c>
      <c r="E51" s="84">
        <v>0.19753086419753099</v>
      </c>
      <c r="F51" s="85">
        <v>0</v>
      </c>
      <c r="L51" s="40"/>
      <c r="M51" s="57" t="s">
        <v>126</v>
      </c>
      <c r="N51" s="42">
        <v>0.55000000000000004</v>
      </c>
      <c r="O51" s="42">
        <v>8</v>
      </c>
      <c r="P51" s="35">
        <v>0.18</v>
      </c>
      <c r="Q51" s="35"/>
      <c r="R51" s="53">
        <f t="shared" si="32"/>
        <v>0.79200000000000004</v>
      </c>
      <c r="S51" s="53">
        <f t="shared" si="33"/>
        <v>0</v>
      </c>
      <c r="T51" s="44">
        <f t="shared" si="34"/>
        <v>0.79200000000000004</v>
      </c>
      <c r="U51" s="5"/>
      <c r="W51" s="56"/>
      <c r="X51" s="57"/>
      <c r="Y51" s="35"/>
      <c r="Z51" s="35"/>
      <c r="AA51" s="35"/>
      <c r="AB51" s="35"/>
      <c r="AC51" s="60">
        <f t="shared" si="26"/>
        <v>0</v>
      </c>
      <c r="AD51" s="60">
        <f t="shared" si="26"/>
        <v>0</v>
      </c>
      <c r="AE51" s="78"/>
      <c r="AF51" s="60">
        <f t="shared" si="27"/>
        <v>0</v>
      </c>
      <c r="AG51" s="60">
        <f t="shared" si="28"/>
        <v>0</v>
      </c>
      <c r="AH51" s="134">
        <f>AF51*AB88/AE88</f>
        <v>0</v>
      </c>
      <c r="AI51" s="61">
        <f>AG51*AB88/AE88</f>
        <v>0</v>
      </c>
      <c r="AJ51" s="5"/>
      <c r="AK51" s="5"/>
      <c r="AL51" s="56"/>
      <c r="AM51" s="57"/>
      <c r="AN51" s="35"/>
      <c r="AO51" s="35"/>
      <c r="AP51" s="35"/>
      <c r="AQ51" s="35"/>
      <c r="AR51" s="60">
        <f t="shared" si="29"/>
        <v>0</v>
      </c>
      <c r="AS51" s="60">
        <f t="shared" si="29"/>
        <v>0</v>
      </c>
      <c r="AT51" s="78"/>
      <c r="AU51" s="60">
        <f t="shared" si="30"/>
        <v>0</v>
      </c>
      <c r="AV51" s="60">
        <f t="shared" si="31"/>
        <v>0</v>
      </c>
      <c r="AW51" s="134">
        <f>AU51*AB88/AE88</f>
        <v>0</v>
      </c>
      <c r="AX51" s="61">
        <f>AV51*AB88/AE88</f>
        <v>0</v>
      </c>
      <c r="AY51" s="5"/>
      <c r="AZ51" s="5"/>
      <c r="BA51" s="40"/>
      <c r="BB51" s="41"/>
      <c r="BC51" s="42"/>
      <c r="BD51" s="35"/>
      <c r="BE51" s="43">
        <f t="shared" si="24"/>
        <v>0</v>
      </c>
      <c r="BF51" s="35"/>
      <c r="BG51" s="44">
        <f t="shared" si="25"/>
        <v>0</v>
      </c>
      <c r="BU51" s="199"/>
      <c r="BV51" s="197"/>
      <c r="BW51" s="180"/>
      <c r="BX51" s="180"/>
      <c r="BY51" s="54" t="s">
        <v>44</v>
      </c>
      <c r="BZ51" s="54" t="s">
        <v>130</v>
      </c>
      <c r="CA51" s="54" t="s">
        <v>44</v>
      </c>
      <c r="CB51" s="54" t="s">
        <v>130</v>
      </c>
      <c r="CC51" s="198"/>
      <c r="CD51" s="5"/>
      <c r="CE51" s="5"/>
      <c r="CF51" s="5"/>
      <c r="CG51" s="5"/>
      <c r="CH51" s="5"/>
      <c r="CJ51" s="40"/>
      <c r="CK51" s="49"/>
      <c r="CL51" s="42"/>
      <c r="CM51" s="42"/>
      <c r="CN51" s="35"/>
      <c r="CO51" s="35"/>
      <c r="CP51" s="60">
        <f>CL51*CM51*CN51</f>
        <v>0</v>
      </c>
      <c r="CQ51" s="60">
        <f>CL51*CM51*CO51</f>
        <v>0</v>
      </c>
      <c r="CR51" s="61">
        <f>CP51+CQ51</f>
        <v>0</v>
      </c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</row>
    <row r="52" spans="2:111" ht="15" customHeight="1" x14ac:dyDescent="0.2">
      <c r="B52" s="93" t="s">
        <v>132</v>
      </c>
      <c r="C52" s="94">
        <v>10</v>
      </c>
      <c r="D52" s="73">
        <f t="shared" si="17"/>
        <v>643637.68160517723</v>
      </c>
      <c r="E52" s="95">
        <f>E13+E18</f>
        <v>643637.68160517723</v>
      </c>
      <c r="F52" s="96">
        <f>F13+F18</f>
        <v>0</v>
      </c>
      <c r="L52" s="40"/>
      <c r="M52" s="57" t="s">
        <v>153</v>
      </c>
      <c r="N52" s="42">
        <v>1.1000000000000001</v>
      </c>
      <c r="O52" s="42">
        <v>8</v>
      </c>
      <c r="P52" s="35">
        <v>0.18</v>
      </c>
      <c r="Q52" s="35"/>
      <c r="R52" s="53">
        <f t="shared" si="32"/>
        <v>1.5840000000000001</v>
      </c>
      <c r="S52" s="53">
        <f t="shared" si="33"/>
        <v>0</v>
      </c>
      <c r="T52" s="44">
        <f t="shared" si="34"/>
        <v>1.5840000000000001</v>
      </c>
      <c r="U52" s="5"/>
      <c r="W52" s="56"/>
      <c r="X52" s="57"/>
      <c r="Y52" s="35"/>
      <c r="Z52" s="35"/>
      <c r="AA52" s="35"/>
      <c r="AB52" s="35"/>
      <c r="AC52" s="60">
        <f t="shared" si="26"/>
        <v>0</v>
      </c>
      <c r="AD52" s="60">
        <f t="shared" si="26"/>
        <v>0</v>
      </c>
      <c r="AE52" s="78"/>
      <c r="AF52" s="60">
        <f t="shared" si="27"/>
        <v>0</v>
      </c>
      <c r="AG52" s="60">
        <f t="shared" si="28"/>
        <v>0</v>
      </c>
      <c r="AH52" s="134">
        <f>AF52*AB88/AE88</f>
        <v>0</v>
      </c>
      <c r="AI52" s="61">
        <f>AG52*AB88/AE88</f>
        <v>0</v>
      </c>
      <c r="AJ52" s="5"/>
      <c r="AK52" s="5"/>
      <c r="AL52" s="56"/>
      <c r="AM52" s="57"/>
      <c r="AN52" s="35"/>
      <c r="AO52" s="35"/>
      <c r="AP52" s="35"/>
      <c r="AQ52" s="35"/>
      <c r="AR52" s="60">
        <f t="shared" si="29"/>
        <v>0</v>
      </c>
      <c r="AS52" s="60">
        <f t="shared" si="29"/>
        <v>0</v>
      </c>
      <c r="AT52" s="78"/>
      <c r="AU52" s="60">
        <f t="shared" si="30"/>
        <v>0</v>
      </c>
      <c r="AV52" s="60">
        <f t="shared" si="31"/>
        <v>0</v>
      </c>
      <c r="AW52" s="134">
        <f>AU52*AB88/AE88</f>
        <v>0</v>
      </c>
      <c r="AX52" s="61">
        <f>AV52*AB88/AE88</f>
        <v>0</v>
      </c>
      <c r="AY52" s="5"/>
      <c r="AZ52" s="5"/>
      <c r="BA52" s="40"/>
      <c r="BB52" s="41"/>
      <c r="BC52" s="42"/>
      <c r="BD52" s="35"/>
      <c r="BE52" s="43">
        <f t="shared" si="24"/>
        <v>0</v>
      </c>
      <c r="BF52" s="35"/>
      <c r="BG52" s="44">
        <f t="shared" si="25"/>
        <v>0</v>
      </c>
      <c r="BU52" s="40"/>
      <c r="BV52" s="49"/>
      <c r="BW52" s="42"/>
      <c r="BX52" s="42"/>
      <c r="BY52" s="35"/>
      <c r="BZ52" s="35">
        <v>0.18</v>
      </c>
      <c r="CA52" s="60">
        <f>BW52*BX52*BY52</f>
        <v>0</v>
      </c>
      <c r="CB52" s="60">
        <f>BW52*BX52*BZ52</f>
        <v>0</v>
      </c>
      <c r="CC52" s="61">
        <f>CA52+CB52</f>
        <v>0</v>
      </c>
      <c r="CD52" s="5"/>
      <c r="CE52" s="5"/>
      <c r="CF52" s="5"/>
      <c r="CG52" s="5"/>
      <c r="CH52" s="5"/>
      <c r="CJ52" s="40"/>
      <c r="CK52" s="49"/>
      <c r="CL52" s="42"/>
      <c r="CM52" s="42"/>
      <c r="CN52" s="35"/>
      <c r="CO52" s="35"/>
      <c r="CP52" s="60">
        <f>CL52*CM52*CN52</f>
        <v>0</v>
      </c>
      <c r="CQ52" s="60">
        <f>CL52*CM52*CO52</f>
        <v>0</v>
      </c>
      <c r="CR52" s="61">
        <f>CP52+CQ52</f>
        <v>0</v>
      </c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</row>
    <row r="53" spans="2:111" ht="15" customHeight="1" thickBot="1" x14ac:dyDescent="0.25">
      <c r="B53" s="136" t="s">
        <v>133</v>
      </c>
      <c r="C53" s="137">
        <v>11</v>
      </c>
      <c r="D53" s="138">
        <f t="shared" si="17"/>
        <v>206.2941287196081</v>
      </c>
      <c r="E53" s="139">
        <f>IF(D10=0,0,E52/D10)</f>
        <v>206.2941287196081</v>
      </c>
      <c r="F53" s="140">
        <f>IF(D10=0,0,F52/D10)</f>
        <v>0</v>
      </c>
      <c r="L53" s="40"/>
      <c r="M53" s="57" t="s">
        <v>128</v>
      </c>
      <c r="N53" s="42">
        <v>1</v>
      </c>
      <c r="O53" s="42">
        <v>8</v>
      </c>
      <c r="P53" s="35">
        <v>0.18</v>
      </c>
      <c r="Q53" s="35"/>
      <c r="R53" s="53">
        <f t="shared" si="32"/>
        <v>1.44</v>
      </c>
      <c r="S53" s="53">
        <f t="shared" si="33"/>
        <v>0</v>
      </c>
      <c r="T53" s="44">
        <f t="shared" si="34"/>
        <v>1.44</v>
      </c>
      <c r="U53" s="5"/>
      <c r="W53" s="56"/>
      <c r="X53" s="57"/>
      <c r="Y53" s="35"/>
      <c r="Z53" s="35"/>
      <c r="AA53" s="35"/>
      <c r="AB53" s="35"/>
      <c r="AC53" s="60">
        <f t="shared" si="26"/>
        <v>0</v>
      </c>
      <c r="AD53" s="60">
        <f t="shared" si="26"/>
        <v>0</v>
      </c>
      <c r="AE53" s="78"/>
      <c r="AF53" s="60">
        <f t="shared" si="27"/>
        <v>0</v>
      </c>
      <c r="AG53" s="60">
        <f t="shared" si="28"/>
        <v>0</v>
      </c>
      <c r="AH53" s="134">
        <f>AF53*AB88/AE88</f>
        <v>0</v>
      </c>
      <c r="AI53" s="61">
        <f>AG53*AB88/AE88</f>
        <v>0</v>
      </c>
      <c r="AJ53" s="5"/>
      <c r="AK53" s="5"/>
      <c r="AL53" s="56"/>
      <c r="AM53" s="57"/>
      <c r="AN53" s="35"/>
      <c r="AO53" s="35"/>
      <c r="AP53" s="35"/>
      <c r="AQ53" s="35"/>
      <c r="AR53" s="60">
        <f t="shared" si="29"/>
        <v>0</v>
      </c>
      <c r="AS53" s="60">
        <f t="shared" si="29"/>
        <v>0</v>
      </c>
      <c r="AT53" s="78"/>
      <c r="AU53" s="60">
        <f t="shared" si="30"/>
        <v>0</v>
      </c>
      <c r="AV53" s="60">
        <f t="shared" si="31"/>
        <v>0</v>
      </c>
      <c r="AW53" s="134">
        <f>AU53*AB88/AE88</f>
        <v>0</v>
      </c>
      <c r="AX53" s="61">
        <f>AV53*AB88/AE88</f>
        <v>0</v>
      </c>
      <c r="AY53" s="5"/>
      <c r="AZ53" s="5"/>
      <c r="BA53" s="40"/>
      <c r="BB53" s="41"/>
      <c r="BC53" s="42"/>
      <c r="BD53" s="35"/>
      <c r="BE53" s="43">
        <f t="shared" si="24"/>
        <v>0</v>
      </c>
      <c r="BF53" s="35"/>
      <c r="BG53" s="44">
        <f t="shared" si="25"/>
        <v>0</v>
      </c>
      <c r="BU53" s="40"/>
      <c r="BV53" s="49"/>
      <c r="BW53" s="42"/>
      <c r="BX53" s="42"/>
      <c r="BY53" s="35"/>
      <c r="BZ53" s="35"/>
      <c r="CA53" s="60">
        <f>BW53*BX53*BY53</f>
        <v>0</v>
      </c>
      <c r="CB53" s="60">
        <f>BW53*BX53*BZ53</f>
        <v>0</v>
      </c>
      <c r="CC53" s="61">
        <f>CA53+CB53</f>
        <v>0</v>
      </c>
      <c r="CD53" s="5"/>
      <c r="CE53" s="5"/>
      <c r="CF53" s="5"/>
      <c r="CG53" s="5"/>
      <c r="CH53" s="5"/>
      <c r="CJ53" s="40"/>
      <c r="CK53" s="49"/>
      <c r="CL53" s="42"/>
      <c r="CM53" s="42"/>
      <c r="CN53" s="35"/>
      <c r="CO53" s="35"/>
      <c r="CP53" s="60">
        <f>CL53*CM53*CN53</f>
        <v>0</v>
      </c>
      <c r="CQ53" s="60">
        <f>CL53*CM53*CO53</f>
        <v>0</v>
      </c>
      <c r="CR53" s="61">
        <f>CP53+CQ53</f>
        <v>0</v>
      </c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</row>
    <row r="54" spans="2:111" ht="15" customHeight="1" thickTop="1" thickBot="1" x14ac:dyDescent="0.3">
      <c r="B54" s="141" t="s">
        <v>134</v>
      </c>
      <c r="C54" s="142" t="s">
        <v>120</v>
      </c>
      <c r="D54" s="143">
        <v>0.3</v>
      </c>
      <c r="E54" s="144"/>
      <c r="F54" s="145"/>
      <c r="L54" s="40"/>
      <c r="M54" s="49"/>
      <c r="N54" s="42"/>
      <c r="O54" s="42"/>
      <c r="P54" s="35"/>
      <c r="Q54" s="35"/>
      <c r="R54" s="53">
        <f t="shared" si="32"/>
        <v>0</v>
      </c>
      <c r="S54" s="53">
        <f t="shared" si="33"/>
        <v>0</v>
      </c>
      <c r="T54" s="44">
        <f t="shared" si="34"/>
        <v>0</v>
      </c>
      <c r="U54" s="5"/>
      <c r="W54" s="56"/>
      <c r="X54" s="57"/>
      <c r="Y54" s="35"/>
      <c r="Z54" s="35"/>
      <c r="AA54" s="35"/>
      <c r="AB54" s="35"/>
      <c r="AC54" s="60">
        <f t="shared" si="26"/>
        <v>0</v>
      </c>
      <c r="AD54" s="60">
        <f t="shared" si="26"/>
        <v>0</v>
      </c>
      <c r="AE54" s="78"/>
      <c r="AF54" s="60">
        <f t="shared" si="27"/>
        <v>0</v>
      </c>
      <c r="AG54" s="60">
        <f t="shared" si="28"/>
        <v>0</v>
      </c>
      <c r="AH54" s="134">
        <f>AF54*AB88/AE88</f>
        <v>0</v>
      </c>
      <c r="AI54" s="61">
        <f>AG54*AB88/AE88</f>
        <v>0</v>
      </c>
      <c r="AJ54" s="5"/>
      <c r="AK54" s="5"/>
      <c r="AL54" s="56"/>
      <c r="AM54" s="57"/>
      <c r="AN54" s="35"/>
      <c r="AO54" s="35"/>
      <c r="AP54" s="35"/>
      <c r="AQ54" s="35"/>
      <c r="AR54" s="60">
        <f t="shared" si="29"/>
        <v>0</v>
      </c>
      <c r="AS54" s="60">
        <f t="shared" si="29"/>
        <v>0</v>
      </c>
      <c r="AT54" s="78"/>
      <c r="AU54" s="60">
        <f t="shared" si="30"/>
        <v>0</v>
      </c>
      <c r="AV54" s="60">
        <f t="shared" si="31"/>
        <v>0</v>
      </c>
      <c r="AW54" s="134">
        <f>AU54*AB88/AE88</f>
        <v>0</v>
      </c>
      <c r="AX54" s="61">
        <f>AV54*AB88/AE88</f>
        <v>0</v>
      </c>
      <c r="AY54" s="5"/>
      <c r="AZ54" s="5"/>
      <c r="BA54" s="40"/>
      <c r="BB54" s="41"/>
      <c r="BC54" s="42"/>
      <c r="BD54" s="35"/>
      <c r="BE54" s="43">
        <f t="shared" si="24"/>
        <v>0</v>
      </c>
      <c r="BF54" s="35"/>
      <c r="BG54" s="44">
        <f t="shared" si="25"/>
        <v>0</v>
      </c>
      <c r="BU54" s="40"/>
      <c r="BV54" s="49"/>
      <c r="BW54" s="42"/>
      <c r="BX54" s="42"/>
      <c r="BY54" s="35"/>
      <c r="BZ54" s="35"/>
      <c r="CA54" s="60">
        <f>BW54*BX54*BY54</f>
        <v>0</v>
      </c>
      <c r="CB54" s="60">
        <f>BW54*BX54*BZ54</f>
        <v>0</v>
      </c>
      <c r="CC54" s="61">
        <f>CA54+CB54</f>
        <v>0</v>
      </c>
      <c r="CD54" s="5"/>
      <c r="CE54" s="5"/>
      <c r="CF54" s="5"/>
      <c r="CG54" s="5"/>
      <c r="CH54" s="5"/>
      <c r="CJ54" s="40"/>
      <c r="CK54" s="65"/>
      <c r="CL54" s="42"/>
      <c r="CM54" s="42"/>
      <c r="CN54" s="35"/>
      <c r="CO54" s="35"/>
      <c r="CP54" s="60">
        <f>CL54*CM54*CN54</f>
        <v>0</v>
      </c>
      <c r="CQ54" s="60">
        <f>CL54*CM54*CO54</f>
        <v>0</v>
      </c>
      <c r="CR54" s="61">
        <f>CP54+CQ54</f>
        <v>0</v>
      </c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</row>
    <row r="55" spans="2:111" customFormat="1" ht="17.25" thickTop="1" thickBot="1" x14ac:dyDescent="0.3">
      <c r="B55" s="146" t="s">
        <v>143</v>
      </c>
      <c r="C55" s="147" t="s">
        <v>120</v>
      </c>
      <c r="D55" s="148">
        <v>0.1</v>
      </c>
      <c r="E55" s="149"/>
      <c r="F55" s="150"/>
      <c r="L55" s="40"/>
      <c r="M55" s="49"/>
      <c r="N55" s="42"/>
      <c r="O55" s="42"/>
      <c r="P55" s="35"/>
      <c r="Q55" s="35"/>
      <c r="R55" s="53"/>
      <c r="S55" s="53"/>
      <c r="T55" s="44"/>
      <c r="U55" s="5"/>
      <c r="W55" s="56"/>
      <c r="X55" s="57"/>
      <c r="Y55" s="35"/>
      <c r="Z55" s="35"/>
      <c r="AA55" s="35"/>
      <c r="AB55" s="35"/>
      <c r="AC55" s="60"/>
      <c r="AD55" s="60"/>
      <c r="AE55" s="78"/>
      <c r="AF55" s="60"/>
      <c r="AG55" s="60"/>
      <c r="AH55" s="134"/>
      <c r="AI55" s="61"/>
      <c r="AJ55" s="5"/>
      <c r="AK55" s="5"/>
      <c r="AL55" s="56"/>
      <c r="AM55" s="57"/>
      <c r="AN55" s="35"/>
      <c r="AO55" s="35"/>
      <c r="AP55" s="35"/>
      <c r="AQ55" s="35"/>
      <c r="AR55" s="60"/>
      <c r="AS55" s="60"/>
      <c r="AT55" s="78"/>
      <c r="AU55" s="60"/>
      <c r="AV55" s="60"/>
      <c r="AW55" s="134"/>
      <c r="AX55" s="61"/>
      <c r="AY55" s="5"/>
      <c r="AZ55" s="5"/>
      <c r="BA55" s="40"/>
      <c r="BB55" s="41"/>
      <c r="BC55" s="42"/>
      <c r="BD55" s="35"/>
      <c r="BE55" s="43"/>
      <c r="BF55" s="35"/>
      <c r="BG55" s="44"/>
      <c r="BU55" s="40"/>
      <c r="BV55" s="49"/>
      <c r="BW55" s="42"/>
      <c r="BX55" s="42"/>
      <c r="BY55" s="35"/>
      <c r="BZ55" s="35"/>
      <c r="CA55" s="60"/>
      <c r="CB55" s="60"/>
      <c r="CC55" s="61"/>
      <c r="CD55" s="5"/>
      <c r="CE55" s="5"/>
      <c r="CF55" s="5"/>
      <c r="CG55" s="5"/>
      <c r="CH55" s="5"/>
      <c r="CJ55" s="40"/>
      <c r="CK55" s="65"/>
      <c r="CL55" s="42"/>
      <c r="CM55" s="42"/>
      <c r="CN55" s="35"/>
      <c r="CO55" s="35"/>
      <c r="CP55" s="60"/>
      <c r="CQ55" s="60"/>
      <c r="CR55" s="61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</row>
    <row r="56" spans="2:111" customFormat="1" ht="17.25" thickTop="1" thickBot="1" x14ac:dyDescent="0.3">
      <c r="B56" s="146" t="s">
        <v>144</v>
      </c>
      <c r="C56" s="147">
        <v>12</v>
      </c>
      <c r="D56" s="151">
        <f>D53*(1+D54)</f>
        <v>268.18236733549054</v>
      </c>
      <c r="E56" s="152">
        <f>IF(E54=0,0,E53+(E53*E54%))</f>
        <v>0</v>
      </c>
      <c r="F56" s="153">
        <f>IF(F54=0,0,F53+(F53*F54%))</f>
        <v>0</v>
      </c>
      <c r="L56" s="40"/>
      <c r="M56" s="49"/>
      <c r="N56" s="42"/>
      <c r="O56" s="42"/>
      <c r="P56" s="35"/>
      <c r="Q56" s="35"/>
      <c r="R56" s="53"/>
      <c r="S56" s="53"/>
      <c r="T56" s="44"/>
      <c r="U56" s="5"/>
      <c r="W56" s="56"/>
      <c r="X56" s="57"/>
      <c r="Y56" s="35"/>
      <c r="Z56" s="35"/>
      <c r="AA56" s="35"/>
      <c r="AB56" s="35"/>
      <c r="AC56" s="60"/>
      <c r="AD56" s="60"/>
      <c r="AE56" s="78"/>
      <c r="AF56" s="60"/>
      <c r="AG56" s="60"/>
      <c r="AH56" s="134"/>
      <c r="AI56" s="61"/>
      <c r="AJ56" s="5"/>
      <c r="AK56" s="5"/>
      <c r="AL56" s="56"/>
      <c r="AM56" s="57"/>
      <c r="AN56" s="35"/>
      <c r="AO56" s="35"/>
      <c r="AP56" s="35"/>
      <c r="AQ56" s="35"/>
      <c r="AR56" s="60"/>
      <c r="AS56" s="60"/>
      <c r="AT56" s="78"/>
      <c r="AU56" s="60"/>
      <c r="AV56" s="60"/>
      <c r="AW56" s="134"/>
      <c r="AX56" s="61"/>
      <c r="AY56" s="5"/>
      <c r="AZ56" s="5"/>
      <c r="BA56" s="40"/>
      <c r="BB56" s="41"/>
      <c r="BC56" s="42"/>
      <c r="BD56" s="35"/>
      <c r="BE56" s="43"/>
      <c r="BF56" s="35"/>
      <c r="BG56" s="44"/>
      <c r="BU56" s="40"/>
      <c r="BV56" s="49"/>
      <c r="BW56" s="42"/>
      <c r="BX56" s="42"/>
      <c r="BY56" s="35"/>
      <c r="BZ56" s="35"/>
      <c r="CA56" s="60"/>
      <c r="CB56" s="60"/>
      <c r="CC56" s="61"/>
      <c r="CD56" s="5"/>
      <c r="CE56" s="5"/>
      <c r="CF56" s="5"/>
      <c r="CG56" s="5"/>
      <c r="CH56" s="5"/>
      <c r="CJ56" s="40"/>
      <c r="CK56" s="65"/>
      <c r="CL56" s="42"/>
      <c r="CM56" s="42"/>
      <c r="CN56" s="35"/>
      <c r="CO56" s="35"/>
      <c r="CP56" s="60"/>
      <c r="CQ56" s="60"/>
      <c r="CR56" s="61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</row>
    <row r="57" spans="2:111" ht="17.25" thickTop="1" thickBot="1" x14ac:dyDescent="0.3">
      <c r="B57" s="154" t="s">
        <v>135</v>
      </c>
      <c r="C57" s="155">
        <v>13</v>
      </c>
      <c r="D57" s="156">
        <f>D56/(1-D55)</f>
        <v>297.98040815054503</v>
      </c>
      <c r="E57" s="157">
        <f>IF(E54=0,0,E53+(E53*E54%))</f>
        <v>0</v>
      </c>
      <c r="F57" s="157">
        <f>IF(F54=0,0,F53+(F53*F54%))</f>
        <v>0</v>
      </c>
      <c r="L57" s="40"/>
      <c r="M57" s="49"/>
      <c r="N57" s="42"/>
      <c r="O57" s="42"/>
      <c r="P57" s="35"/>
      <c r="Q57" s="35"/>
      <c r="R57" s="53">
        <f t="shared" ref="R57:R76" si="35">N57*O57*P57</f>
        <v>0</v>
      </c>
      <c r="S57" s="53">
        <f t="shared" ref="S57:S76" si="36">N57*O57*Q57</f>
        <v>0</v>
      </c>
      <c r="T57" s="44">
        <f t="shared" ref="T57:T76" si="37">R57+S57</f>
        <v>0</v>
      </c>
      <c r="U57" s="5"/>
      <c r="W57" s="56"/>
      <c r="X57" s="57"/>
      <c r="Y57" s="35"/>
      <c r="Z57" s="35"/>
      <c r="AA57" s="35"/>
      <c r="AB57" s="35"/>
      <c r="AC57" s="60">
        <f t="shared" ref="AC57:AD79" si="38">Y57-AA57</f>
        <v>0</v>
      </c>
      <c r="AD57" s="60">
        <f t="shared" si="38"/>
        <v>0</v>
      </c>
      <c r="AE57" s="78"/>
      <c r="AF57" s="60">
        <f t="shared" ref="AF57:AF79" si="39">AC57*AE57%</f>
        <v>0</v>
      </c>
      <c r="AG57" s="60">
        <f t="shared" ref="AG57:AG79" si="40">AD57*AE57%</f>
        <v>0</v>
      </c>
      <c r="AH57" s="134">
        <f>AF57*AB88/AE88</f>
        <v>0</v>
      </c>
      <c r="AI57" s="61">
        <f>AG57*AB88/AE88</f>
        <v>0</v>
      </c>
      <c r="AJ57" s="5"/>
      <c r="AK57" s="5"/>
      <c r="AL57" s="56"/>
      <c r="AM57" s="57"/>
      <c r="AN57" s="35"/>
      <c r="AO57" s="35"/>
      <c r="AP57" s="35"/>
      <c r="AQ57" s="35"/>
      <c r="AR57" s="60">
        <f t="shared" ref="AR57:AS79" si="41">AN57-AP57</f>
        <v>0</v>
      </c>
      <c r="AS57" s="60">
        <f t="shared" si="41"/>
        <v>0</v>
      </c>
      <c r="AT57" s="78"/>
      <c r="AU57" s="60">
        <f t="shared" ref="AU57:AU79" si="42">AR57*AT57%</f>
        <v>0</v>
      </c>
      <c r="AV57" s="60">
        <f t="shared" ref="AV57:AV79" si="43">AS57*AT57%</f>
        <v>0</v>
      </c>
      <c r="AW57" s="134">
        <f>AU57*AB88/AE88</f>
        <v>0</v>
      </c>
      <c r="AX57" s="61">
        <f>AV57*AB88/AE88</f>
        <v>0</v>
      </c>
      <c r="AY57" s="5"/>
      <c r="AZ57" s="5"/>
      <c r="BA57" s="40"/>
      <c r="BB57" s="41"/>
      <c r="BC57" s="42"/>
      <c r="BD57" s="35"/>
      <c r="BE57" s="43">
        <f t="shared" ref="BE57:BE81" si="44">BD57/190.6</f>
        <v>0</v>
      </c>
      <c r="BF57" s="35"/>
      <c r="BG57" s="44">
        <f t="shared" ref="BG57:BG81" si="45">BE57*BF57*BB57</f>
        <v>0</v>
      </c>
      <c r="BU57" s="40"/>
      <c r="BV57" s="65"/>
      <c r="BW57" s="42"/>
      <c r="BX57" s="42"/>
      <c r="BY57" s="35"/>
      <c r="BZ57" s="35"/>
      <c r="CA57" s="60">
        <f>BW57*BX57*BY57</f>
        <v>0</v>
      </c>
      <c r="CB57" s="60">
        <f>BW57*BX57*BZ57</f>
        <v>0</v>
      </c>
      <c r="CC57" s="61">
        <f>CA57+CB57</f>
        <v>0</v>
      </c>
      <c r="CD57" s="5"/>
      <c r="CE57" s="5"/>
      <c r="CF57" s="5"/>
      <c r="CG57" s="5"/>
      <c r="CH57" s="5"/>
      <c r="CJ57" s="40"/>
      <c r="CK57" s="49"/>
      <c r="CL57" s="42"/>
      <c r="CM57" s="42"/>
      <c r="CN57" s="35"/>
      <c r="CO57" s="35"/>
      <c r="CP57" s="60">
        <f>CL57*CM57*CN57</f>
        <v>0</v>
      </c>
      <c r="CQ57" s="60">
        <f>CL57*CM57*CO57</f>
        <v>0</v>
      </c>
      <c r="CR57" s="61">
        <f>CP57+CQ57</f>
        <v>0</v>
      </c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</row>
    <row r="58" spans="2:111" ht="15" customHeight="1" thickBot="1" x14ac:dyDescent="0.25">
      <c r="B58" s="183" t="s">
        <v>136</v>
      </c>
      <c r="C58" s="183"/>
      <c r="D58" s="183"/>
      <c r="E58" s="185" t="s">
        <v>137</v>
      </c>
      <c r="F58" s="187" t="s">
        <v>138</v>
      </c>
      <c r="L58" s="40"/>
      <c r="M58" s="49"/>
      <c r="N58" s="42"/>
      <c r="O58" s="42"/>
      <c r="P58" s="35"/>
      <c r="Q58" s="35"/>
      <c r="R58" s="53">
        <f t="shared" si="35"/>
        <v>0</v>
      </c>
      <c r="S58" s="53">
        <f t="shared" si="36"/>
        <v>0</v>
      </c>
      <c r="T58" s="44">
        <f t="shared" si="37"/>
        <v>0</v>
      </c>
      <c r="U58" s="5"/>
      <c r="W58" s="56"/>
      <c r="X58" s="57"/>
      <c r="Y58" s="35"/>
      <c r="Z58" s="35"/>
      <c r="AA58" s="35"/>
      <c r="AB58" s="35"/>
      <c r="AC58" s="60">
        <f t="shared" si="38"/>
        <v>0</v>
      </c>
      <c r="AD58" s="60">
        <f t="shared" si="38"/>
        <v>0</v>
      </c>
      <c r="AE58" s="78"/>
      <c r="AF58" s="60">
        <f t="shared" si="39"/>
        <v>0</v>
      </c>
      <c r="AG58" s="60">
        <f t="shared" si="40"/>
        <v>0</v>
      </c>
      <c r="AH58" s="134">
        <f>AF58*AB88/AE88</f>
        <v>0</v>
      </c>
      <c r="AI58" s="61">
        <f>AG58*AB88/AE88</f>
        <v>0</v>
      </c>
      <c r="AJ58" s="5"/>
      <c r="AK58" s="5"/>
      <c r="AL58" s="56"/>
      <c r="AM58" s="57"/>
      <c r="AN58" s="35"/>
      <c r="AO58" s="35"/>
      <c r="AP58" s="35"/>
      <c r="AQ58" s="35"/>
      <c r="AR58" s="60">
        <f t="shared" si="41"/>
        <v>0</v>
      </c>
      <c r="AS58" s="60">
        <f t="shared" si="41"/>
        <v>0</v>
      </c>
      <c r="AT58" s="78"/>
      <c r="AU58" s="60">
        <f t="shared" si="42"/>
        <v>0</v>
      </c>
      <c r="AV58" s="60">
        <f t="shared" si="43"/>
        <v>0</v>
      </c>
      <c r="AW58" s="134">
        <f>AU58*AB88/AE88</f>
        <v>0</v>
      </c>
      <c r="AX58" s="61">
        <f>AV58*AB88/AE88</f>
        <v>0</v>
      </c>
      <c r="AY58" s="5"/>
      <c r="AZ58" s="5"/>
      <c r="BA58" s="40"/>
      <c r="BB58" s="41"/>
      <c r="BC58" s="42"/>
      <c r="BD58" s="35"/>
      <c r="BE58" s="43">
        <f t="shared" si="44"/>
        <v>0</v>
      </c>
      <c r="BF58" s="35"/>
      <c r="BG58" s="44">
        <f t="shared" si="45"/>
        <v>0</v>
      </c>
      <c r="BU58" s="40"/>
      <c r="BV58" s="49"/>
      <c r="BW58" s="42"/>
      <c r="BX58" s="42"/>
      <c r="BY58" s="35"/>
      <c r="BZ58" s="35"/>
      <c r="CA58" s="60">
        <f>BW58*BX58*BY58</f>
        <v>0</v>
      </c>
      <c r="CB58" s="60">
        <f>BW58*BX58*BZ58</f>
        <v>0</v>
      </c>
      <c r="CC58" s="61">
        <f>CA58+CB58</f>
        <v>0</v>
      </c>
      <c r="CD58" s="5"/>
      <c r="CE58" s="5"/>
      <c r="CF58" s="5"/>
      <c r="CG58" s="5"/>
      <c r="CH58" s="5"/>
      <c r="CJ58" s="40"/>
      <c r="CK58" s="49"/>
      <c r="CL58" s="42"/>
      <c r="CM58" s="42"/>
      <c r="CN58" s="35"/>
      <c r="CO58" s="35"/>
      <c r="CP58" s="60">
        <f>CL58*CM58*CN58</f>
        <v>0</v>
      </c>
      <c r="CQ58" s="60">
        <f>CL58*CM58*CO58</f>
        <v>0</v>
      </c>
      <c r="CR58" s="61">
        <f>CP58+CQ58</f>
        <v>0</v>
      </c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</row>
    <row r="59" spans="2:111" ht="24" customHeight="1" thickBot="1" x14ac:dyDescent="0.25">
      <c r="B59" s="184"/>
      <c r="C59" s="184"/>
      <c r="D59" s="184"/>
      <c r="E59" s="186"/>
      <c r="F59" s="188"/>
      <c r="L59" s="40"/>
      <c r="M59" s="49"/>
      <c r="N59" s="42"/>
      <c r="O59" s="42"/>
      <c r="P59" s="35"/>
      <c r="Q59" s="35"/>
      <c r="R59" s="53">
        <f t="shared" si="35"/>
        <v>0</v>
      </c>
      <c r="S59" s="53">
        <f t="shared" si="36"/>
        <v>0</v>
      </c>
      <c r="T59" s="44">
        <f t="shared" si="37"/>
        <v>0</v>
      </c>
      <c r="U59" s="5"/>
      <c r="W59" s="56"/>
      <c r="X59" s="57"/>
      <c r="Y59" s="35"/>
      <c r="Z59" s="35"/>
      <c r="AA59" s="35"/>
      <c r="AB59" s="35"/>
      <c r="AC59" s="60">
        <f t="shared" si="38"/>
        <v>0</v>
      </c>
      <c r="AD59" s="60">
        <f t="shared" si="38"/>
        <v>0</v>
      </c>
      <c r="AE59" s="78"/>
      <c r="AF59" s="60">
        <f t="shared" si="39"/>
        <v>0</v>
      </c>
      <c r="AG59" s="60">
        <f t="shared" si="40"/>
        <v>0</v>
      </c>
      <c r="AH59" s="134">
        <f>AF59*AB88/AE88</f>
        <v>0</v>
      </c>
      <c r="AI59" s="61">
        <f>AG59*AB88/AE88</f>
        <v>0</v>
      </c>
      <c r="AJ59" s="5"/>
      <c r="AK59" s="5"/>
      <c r="AL59" s="56"/>
      <c r="AM59" s="57"/>
      <c r="AN59" s="35"/>
      <c r="AO59" s="35"/>
      <c r="AP59" s="35"/>
      <c r="AQ59" s="35"/>
      <c r="AR59" s="60">
        <f t="shared" si="41"/>
        <v>0</v>
      </c>
      <c r="AS59" s="60">
        <f t="shared" si="41"/>
        <v>0</v>
      </c>
      <c r="AT59" s="78"/>
      <c r="AU59" s="60">
        <f t="shared" si="42"/>
        <v>0</v>
      </c>
      <c r="AV59" s="60">
        <f t="shared" si="43"/>
        <v>0</v>
      </c>
      <c r="AW59" s="134">
        <f>AU59*AB88/AE88</f>
        <v>0</v>
      </c>
      <c r="AX59" s="61">
        <f>AV59*AB88/AE88</f>
        <v>0</v>
      </c>
      <c r="AY59" s="5"/>
      <c r="AZ59" s="5"/>
      <c r="BA59" s="40"/>
      <c r="BB59" s="41"/>
      <c r="BC59" s="42"/>
      <c r="BD59" s="35"/>
      <c r="BE59" s="43">
        <f t="shared" si="44"/>
        <v>0</v>
      </c>
      <c r="BF59" s="35"/>
      <c r="BG59" s="44">
        <f t="shared" si="45"/>
        <v>0</v>
      </c>
      <c r="BU59" s="40"/>
      <c r="BV59" s="49"/>
      <c r="BW59" s="42"/>
      <c r="BX59" s="42"/>
      <c r="BY59" s="35"/>
      <c r="BZ59" s="35"/>
      <c r="CA59" s="60">
        <f>BW59*BX59*BY59</f>
        <v>0</v>
      </c>
      <c r="CB59" s="60">
        <f>BW59*BX59*BZ59</f>
        <v>0</v>
      </c>
      <c r="CC59" s="61">
        <f>CA59+CB59</f>
        <v>0</v>
      </c>
      <c r="CD59" s="5"/>
      <c r="CE59" s="5"/>
      <c r="CF59" s="5"/>
      <c r="CG59" s="5"/>
      <c r="CH59" s="5"/>
      <c r="CJ59" s="40"/>
      <c r="CK59" s="49"/>
      <c r="CL59" s="42"/>
      <c r="CM59" s="42"/>
      <c r="CN59" s="35"/>
      <c r="CO59" s="35"/>
      <c r="CP59" s="60">
        <f>CL59*CM59*CN59</f>
        <v>0</v>
      </c>
      <c r="CQ59" s="60">
        <f>CL59*CM59*CO59</f>
        <v>0</v>
      </c>
      <c r="CR59" s="61">
        <f>CP59+CQ59</f>
        <v>0</v>
      </c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</row>
    <row r="60" spans="2:111" ht="15" customHeight="1" thickTop="1" thickBot="1" x14ac:dyDescent="0.25">
      <c r="B60" s="189" t="s">
        <v>139</v>
      </c>
      <c r="C60" s="190"/>
      <c r="D60" s="190"/>
      <c r="E60" s="193" t="s">
        <v>137</v>
      </c>
      <c r="F60" s="195" t="s">
        <v>138</v>
      </c>
      <c r="L60" s="40"/>
      <c r="M60" s="49"/>
      <c r="N60" s="42"/>
      <c r="O60" s="42"/>
      <c r="P60" s="35"/>
      <c r="Q60" s="35"/>
      <c r="R60" s="53">
        <f t="shared" si="35"/>
        <v>0</v>
      </c>
      <c r="S60" s="53">
        <f t="shared" si="36"/>
        <v>0</v>
      </c>
      <c r="T60" s="44">
        <f t="shared" si="37"/>
        <v>0</v>
      </c>
      <c r="U60" s="5"/>
      <c r="W60" s="56"/>
      <c r="X60" s="57"/>
      <c r="Y60" s="35"/>
      <c r="Z60" s="35"/>
      <c r="AA60" s="35"/>
      <c r="AB60" s="35"/>
      <c r="AC60" s="60">
        <f t="shared" si="38"/>
        <v>0</v>
      </c>
      <c r="AD60" s="60">
        <f t="shared" si="38"/>
        <v>0</v>
      </c>
      <c r="AE60" s="78"/>
      <c r="AF60" s="60">
        <f t="shared" si="39"/>
        <v>0</v>
      </c>
      <c r="AG60" s="60">
        <f t="shared" si="40"/>
        <v>0</v>
      </c>
      <c r="AH60" s="134">
        <f>AF60*AB88/AE88</f>
        <v>0</v>
      </c>
      <c r="AI60" s="61">
        <f>AG60*AB88/AE88</f>
        <v>0</v>
      </c>
      <c r="AJ60" s="5"/>
      <c r="AK60" s="5"/>
      <c r="AL60" s="56"/>
      <c r="AM60" s="57"/>
      <c r="AN60" s="35"/>
      <c r="AO60" s="35"/>
      <c r="AP60" s="35"/>
      <c r="AQ60" s="35"/>
      <c r="AR60" s="60">
        <f t="shared" si="41"/>
        <v>0</v>
      </c>
      <c r="AS60" s="60">
        <f t="shared" si="41"/>
        <v>0</v>
      </c>
      <c r="AT60" s="78"/>
      <c r="AU60" s="60">
        <f t="shared" si="42"/>
        <v>0</v>
      </c>
      <c r="AV60" s="60">
        <f t="shared" si="43"/>
        <v>0</v>
      </c>
      <c r="AW60" s="134">
        <f>AU60*AB88/AE88</f>
        <v>0</v>
      </c>
      <c r="AX60" s="61">
        <f>AV60*AB88/AE88</f>
        <v>0</v>
      </c>
      <c r="AY60" s="5"/>
      <c r="AZ60" s="5"/>
      <c r="BA60" s="40"/>
      <c r="BB60" s="41"/>
      <c r="BC60" s="42"/>
      <c r="BD60" s="35"/>
      <c r="BE60" s="43">
        <f t="shared" si="44"/>
        <v>0</v>
      </c>
      <c r="BF60" s="35"/>
      <c r="BG60" s="44">
        <f t="shared" si="45"/>
        <v>0</v>
      </c>
      <c r="BU60" s="40"/>
      <c r="BV60" s="49"/>
      <c r="BW60" s="42"/>
      <c r="BX60" s="42"/>
      <c r="BY60" s="35"/>
      <c r="BZ60" s="35"/>
      <c r="CA60" s="60">
        <f>BW60*BX60*BY60</f>
        <v>0</v>
      </c>
      <c r="CB60" s="60">
        <f>BW60*BX60*BZ60</f>
        <v>0</v>
      </c>
      <c r="CC60" s="61">
        <f>CA60+CB60</f>
        <v>0</v>
      </c>
      <c r="CD60" s="5"/>
      <c r="CE60" s="5"/>
      <c r="CF60" s="5"/>
      <c r="CG60" s="5"/>
      <c r="CH60" s="5"/>
      <c r="CJ60" s="40"/>
      <c r="CK60" s="49"/>
      <c r="CL60" s="42"/>
      <c r="CM60" s="42"/>
      <c r="CN60" s="35"/>
      <c r="CO60" s="35"/>
      <c r="CP60" s="60">
        <f>CL60*CM60*CN60</f>
        <v>0</v>
      </c>
      <c r="CQ60" s="60">
        <f>CL60*CM60*CO60</f>
        <v>0</v>
      </c>
      <c r="CR60" s="61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</row>
    <row r="61" spans="2:111" ht="15" customHeight="1" thickBot="1" x14ac:dyDescent="0.3">
      <c r="B61" s="191"/>
      <c r="C61" s="192"/>
      <c r="D61" s="192"/>
      <c r="E61" s="194"/>
      <c r="F61" s="196"/>
      <c r="L61" s="40"/>
      <c r="M61" s="49"/>
      <c r="N61" s="42"/>
      <c r="O61" s="42"/>
      <c r="P61" s="35"/>
      <c r="Q61" s="35"/>
      <c r="R61" s="53">
        <f t="shared" si="35"/>
        <v>0</v>
      </c>
      <c r="S61" s="53">
        <f t="shared" si="36"/>
        <v>0</v>
      </c>
      <c r="T61" s="44">
        <f t="shared" si="37"/>
        <v>0</v>
      </c>
      <c r="U61" s="5"/>
      <c r="W61" s="56"/>
      <c r="X61" s="57"/>
      <c r="Y61" s="35"/>
      <c r="Z61" s="35"/>
      <c r="AA61" s="35"/>
      <c r="AB61" s="35"/>
      <c r="AC61" s="60">
        <f t="shared" si="38"/>
        <v>0</v>
      </c>
      <c r="AD61" s="60">
        <f t="shared" si="38"/>
        <v>0</v>
      </c>
      <c r="AE61" s="78"/>
      <c r="AF61" s="60">
        <f t="shared" si="39"/>
        <v>0</v>
      </c>
      <c r="AG61" s="60">
        <f t="shared" si="40"/>
        <v>0</v>
      </c>
      <c r="AH61" s="134">
        <f>AF61*AB88/AE88</f>
        <v>0</v>
      </c>
      <c r="AI61" s="61">
        <f>AG61*AB88/AE88</f>
        <v>0</v>
      </c>
      <c r="AJ61" s="5"/>
      <c r="AK61" s="5"/>
      <c r="AL61" s="56"/>
      <c r="AM61" s="57"/>
      <c r="AN61" s="35"/>
      <c r="AO61" s="35"/>
      <c r="AP61" s="35"/>
      <c r="AQ61" s="35"/>
      <c r="AR61" s="60">
        <f t="shared" si="41"/>
        <v>0</v>
      </c>
      <c r="AS61" s="60">
        <f t="shared" si="41"/>
        <v>0</v>
      </c>
      <c r="AT61" s="78"/>
      <c r="AU61" s="60">
        <f t="shared" si="42"/>
        <v>0</v>
      </c>
      <c r="AV61" s="60">
        <f t="shared" si="43"/>
        <v>0</v>
      </c>
      <c r="AW61" s="134">
        <f>AU61*AB88/AE88</f>
        <v>0</v>
      </c>
      <c r="AX61" s="61">
        <f>AV61*AB88/AE88</f>
        <v>0</v>
      </c>
      <c r="AY61" s="5"/>
      <c r="AZ61" s="5"/>
      <c r="BA61" s="40"/>
      <c r="BB61" s="41"/>
      <c r="BC61" s="42"/>
      <c r="BD61" s="35"/>
      <c r="BE61" s="43">
        <f t="shared" si="44"/>
        <v>0</v>
      </c>
      <c r="BF61" s="35"/>
      <c r="BG61" s="44">
        <f t="shared" si="45"/>
        <v>0</v>
      </c>
      <c r="BU61" s="40"/>
      <c r="BV61" s="49"/>
      <c r="BW61" s="42"/>
      <c r="BX61" s="42"/>
      <c r="BY61" s="35"/>
      <c r="BZ61" s="35"/>
      <c r="CA61" s="60">
        <f>BW61*BX61*BY61</f>
        <v>0</v>
      </c>
      <c r="CB61" s="60">
        <f>BW61*BX61*BZ61</f>
        <v>0</v>
      </c>
      <c r="CC61" s="61"/>
      <c r="CD61" s="5"/>
      <c r="CE61" s="5"/>
      <c r="CF61" s="5"/>
      <c r="CG61" s="5"/>
      <c r="CH61" s="5"/>
      <c r="CJ61" s="86"/>
      <c r="CK61" s="87" t="s">
        <v>21</v>
      </c>
      <c r="CL61" s="88"/>
      <c r="CM61" s="88"/>
      <c r="CN61" s="89"/>
      <c r="CO61" s="89"/>
      <c r="CP61" s="89">
        <f>SUM(CP51:CP60)</f>
        <v>0</v>
      </c>
      <c r="CQ61" s="89">
        <f>SUM(CQ51:CQ60)</f>
        <v>0</v>
      </c>
      <c r="CR61" s="158">
        <f>SUM(CR51:CR60)</f>
        <v>0</v>
      </c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</row>
    <row r="62" spans="2:111" ht="15" customHeight="1" thickTop="1" thickBot="1" x14ac:dyDescent="0.3">
      <c r="L62" s="40"/>
      <c r="M62" s="49"/>
      <c r="N62" s="42"/>
      <c r="O62" s="42"/>
      <c r="P62" s="35"/>
      <c r="Q62" s="35"/>
      <c r="R62" s="53">
        <f t="shared" si="35"/>
        <v>0</v>
      </c>
      <c r="S62" s="53">
        <f t="shared" si="36"/>
        <v>0</v>
      </c>
      <c r="T62" s="44">
        <f t="shared" si="37"/>
        <v>0</v>
      </c>
      <c r="U62" s="5"/>
      <c r="W62" s="56"/>
      <c r="X62" s="57"/>
      <c r="Y62" s="35"/>
      <c r="Z62" s="35"/>
      <c r="AA62" s="35"/>
      <c r="AB62" s="35"/>
      <c r="AC62" s="60">
        <f t="shared" si="38"/>
        <v>0</v>
      </c>
      <c r="AD62" s="60">
        <f t="shared" si="38"/>
        <v>0</v>
      </c>
      <c r="AE62" s="78"/>
      <c r="AF62" s="60">
        <f t="shared" si="39"/>
        <v>0</v>
      </c>
      <c r="AG62" s="60">
        <f t="shared" si="40"/>
        <v>0</v>
      </c>
      <c r="AH62" s="134">
        <f>AF62*AB88/AE88</f>
        <v>0</v>
      </c>
      <c r="AI62" s="61">
        <f>AG62*AB88/AE88</f>
        <v>0</v>
      </c>
      <c r="AJ62" s="5"/>
      <c r="AK62" s="5"/>
      <c r="AL62" s="56"/>
      <c r="AM62" s="57"/>
      <c r="AN62" s="35"/>
      <c r="AO62" s="35"/>
      <c r="AP62" s="35"/>
      <c r="AQ62" s="35"/>
      <c r="AR62" s="60">
        <f t="shared" si="41"/>
        <v>0</v>
      </c>
      <c r="AS62" s="60">
        <f t="shared" si="41"/>
        <v>0</v>
      </c>
      <c r="AT62" s="78"/>
      <c r="AU62" s="60">
        <f t="shared" si="42"/>
        <v>0</v>
      </c>
      <c r="AV62" s="60">
        <f t="shared" si="43"/>
        <v>0</v>
      </c>
      <c r="AW62" s="134">
        <f>AU62*AB88/AE88</f>
        <v>0</v>
      </c>
      <c r="AX62" s="61">
        <f>AV62*AB88/AE88</f>
        <v>0</v>
      </c>
      <c r="AY62" s="5"/>
      <c r="AZ62" s="5"/>
      <c r="BA62" s="40"/>
      <c r="BB62" s="41"/>
      <c r="BC62" s="42"/>
      <c r="BD62" s="35"/>
      <c r="BE62" s="43">
        <f t="shared" si="44"/>
        <v>0</v>
      </c>
      <c r="BF62" s="35"/>
      <c r="BG62" s="44">
        <f t="shared" si="45"/>
        <v>0</v>
      </c>
      <c r="BU62" s="86"/>
      <c r="BV62" s="87" t="s">
        <v>21</v>
      </c>
      <c r="BW62" s="88"/>
      <c r="BX62" s="88"/>
      <c r="BY62" s="89"/>
      <c r="BZ62" s="89"/>
      <c r="CA62" s="89">
        <f>SUM(CA52:CA61)</f>
        <v>0</v>
      </c>
      <c r="CB62" s="89">
        <f>SUM(CB52:CB61)</f>
        <v>0</v>
      </c>
      <c r="CC62" s="158">
        <f>SUM(CC52:CC61)</f>
        <v>0</v>
      </c>
      <c r="CD62" s="5"/>
      <c r="CE62" s="5"/>
      <c r="CF62" s="5"/>
      <c r="CG62" s="5"/>
      <c r="CH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</row>
    <row r="63" spans="2:111" ht="15" customHeight="1" x14ac:dyDescent="0.2">
      <c r="L63" s="40"/>
      <c r="M63" s="49"/>
      <c r="N63" s="42"/>
      <c r="O63" s="42"/>
      <c r="P63" s="35"/>
      <c r="Q63" s="35"/>
      <c r="R63" s="53">
        <f t="shared" si="35"/>
        <v>0</v>
      </c>
      <c r="S63" s="53">
        <f t="shared" si="36"/>
        <v>0</v>
      </c>
      <c r="T63" s="44">
        <f t="shared" si="37"/>
        <v>0</v>
      </c>
      <c r="U63" s="5"/>
      <c r="W63" s="56"/>
      <c r="X63" s="57"/>
      <c r="Y63" s="35"/>
      <c r="Z63" s="35"/>
      <c r="AA63" s="35"/>
      <c r="AB63" s="35"/>
      <c r="AC63" s="60">
        <f t="shared" si="38"/>
        <v>0</v>
      </c>
      <c r="AD63" s="60">
        <f t="shared" si="38"/>
        <v>0</v>
      </c>
      <c r="AE63" s="78"/>
      <c r="AF63" s="60">
        <f t="shared" si="39"/>
        <v>0</v>
      </c>
      <c r="AG63" s="60">
        <f t="shared" si="40"/>
        <v>0</v>
      </c>
      <c r="AH63" s="134">
        <f>AF63*AB88/AE88</f>
        <v>0</v>
      </c>
      <c r="AI63" s="61">
        <f>AG63*AB88/AE88</f>
        <v>0</v>
      </c>
      <c r="AJ63" s="5"/>
      <c r="AK63" s="5"/>
      <c r="AL63" s="56"/>
      <c r="AM63" s="57"/>
      <c r="AN63" s="35"/>
      <c r="AO63" s="35"/>
      <c r="AP63" s="35"/>
      <c r="AQ63" s="35"/>
      <c r="AR63" s="60">
        <f t="shared" si="41"/>
        <v>0</v>
      </c>
      <c r="AS63" s="60">
        <f t="shared" si="41"/>
        <v>0</v>
      </c>
      <c r="AT63" s="78"/>
      <c r="AU63" s="60">
        <f t="shared" si="42"/>
        <v>0</v>
      </c>
      <c r="AV63" s="60">
        <f t="shared" si="43"/>
        <v>0</v>
      </c>
      <c r="AW63" s="134">
        <f>AU63*AB88/AE88</f>
        <v>0</v>
      </c>
      <c r="AX63" s="61">
        <f>AV63*AB88/AE88</f>
        <v>0</v>
      </c>
      <c r="AY63" s="5"/>
      <c r="AZ63" s="5"/>
      <c r="BA63" s="40"/>
      <c r="BB63" s="41"/>
      <c r="BC63" s="42"/>
      <c r="BD63" s="35"/>
      <c r="BE63" s="43">
        <f t="shared" si="44"/>
        <v>0</v>
      </c>
      <c r="BF63" s="35"/>
      <c r="BG63" s="44">
        <f t="shared" si="45"/>
        <v>0</v>
      </c>
    </row>
    <row r="64" spans="2:111" ht="15" customHeight="1" x14ac:dyDescent="0.2">
      <c r="L64" s="40"/>
      <c r="M64" s="49"/>
      <c r="N64" s="42"/>
      <c r="O64" s="42"/>
      <c r="P64" s="35"/>
      <c r="Q64" s="35"/>
      <c r="R64" s="53">
        <f t="shared" si="35"/>
        <v>0</v>
      </c>
      <c r="S64" s="53">
        <f t="shared" si="36"/>
        <v>0</v>
      </c>
      <c r="T64" s="44">
        <f t="shared" si="37"/>
        <v>0</v>
      </c>
      <c r="U64" s="5"/>
      <c r="W64" s="56"/>
      <c r="X64" s="57"/>
      <c r="Y64" s="35"/>
      <c r="Z64" s="35"/>
      <c r="AA64" s="35"/>
      <c r="AB64" s="35"/>
      <c r="AC64" s="60">
        <f t="shared" si="38"/>
        <v>0</v>
      </c>
      <c r="AD64" s="60">
        <f t="shared" si="38"/>
        <v>0</v>
      </c>
      <c r="AE64" s="78"/>
      <c r="AF64" s="60">
        <f t="shared" si="39"/>
        <v>0</v>
      </c>
      <c r="AG64" s="60">
        <f t="shared" si="40"/>
        <v>0</v>
      </c>
      <c r="AH64" s="134">
        <f>AF64*AB88/AE88</f>
        <v>0</v>
      </c>
      <c r="AI64" s="61">
        <f>AG64*AB88/AE88</f>
        <v>0</v>
      </c>
      <c r="AJ64" s="5"/>
      <c r="AK64" s="5"/>
      <c r="AL64" s="56"/>
      <c r="AM64" s="57"/>
      <c r="AN64" s="35"/>
      <c r="AO64" s="35"/>
      <c r="AP64" s="35"/>
      <c r="AQ64" s="35"/>
      <c r="AR64" s="60">
        <f t="shared" si="41"/>
        <v>0</v>
      </c>
      <c r="AS64" s="60">
        <f t="shared" si="41"/>
        <v>0</v>
      </c>
      <c r="AT64" s="78"/>
      <c r="AU64" s="60">
        <f t="shared" si="42"/>
        <v>0</v>
      </c>
      <c r="AV64" s="60">
        <f t="shared" si="43"/>
        <v>0</v>
      </c>
      <c r="AW64" s="134">
        <f>AU64*AB88/AE88</f>
        <v>0</v>
      </c>
      <c r="AX64" s="61">
        <f>AV64*AB88/AE88</f>
        <v>0</v>
      </c>
      <c r="AY64" s="5"/>
      <c r="AZ64" s="5"/>
      <c r="BA64" s="40"/>
      <c r="BB64" s="41"/>
      <c r="BC64" s="42"/>
      <c r="BD64" s="35"/>
      <c r="BE64" s="43">
        <f t="shared" si="44"/>
        <v>0</v>
      </c>
      <c r="BF64" s="35"/>
      <c r="BG64" s="44">
        <f t="shared" si="45"/>
        <v>0</v>
      </c>
    </row>
    <row r="65" spans="12:100" ht="15" customHeight="1" x14ac:dyDescent="0.2">
      <c r="L65" s="40"/>
      <c r="M65" s="49"/>
      <c r="N65" s="42"/>
      <c r="O65" s="42"/>
      <c r="P65" s="35"/>
      <c r="Q65" s="35"/>
      <c r="R65" s="53">
        <f t="shared" si="35"/>
        <v>0</v>
      </c>
      <c r="S65" s="53">
        <f t="shared" si="36"/>
        <v>0</v>
      </c>
      <c r="T65" s="44">
        <f t="shared" si="37"/>
        <v>0</v>
      </c>
      <c r="U65" s="5"/>
      <c r="W65" s="56"/>
      <c r="X65" s="57"/>
      <c r="Y65" s="35"/>
      <c r="Z65" s="35"/>
      <c r="AA65" s="35"/>
      <c r="AB65" s="35"/>
      <c r="AC65" s="60">
        <f t="shared" si="38"/>
        <v>0</v>
      </c>
      <c r="AD65" s="60">
        <f t="shared" si="38"/>
        <v>0</v>
      </c>
      <c r="AE65" s="78"/>
      <c r="AF65" s="60">
        <f t="shared" si="39"/>
        <v>0</v>
      </c>
      <c r="AG65" s="60">
        <f t="shared" si="40"/>
        <v>0</v>
      </c>
      <c r="AH65" s="134">
        <f>AF65*AB88/AE88</f>
        <v>0</v>
      </c>
      <c r="AI65" s="61">
        <f>AG65*AB88/AE88</f>
        <v>0</v>
      </c>
      <c r="AJ65" s="5"/>
      <c r="AK65" s="5"/>
      <c r="AL65" s="56"/>
      <c r="AM65" s="57"/>
      <c r="AN65" s="35"/>
      <c r="AO65" s="35"/>
      <c r="AP65" s="35"/>
      <c r="AQ65" s="35"/>
      <c r="AR65" s="60">
        <f t="shared" si="41"/>
        <v>0</v>
      </c>
      <c r="AS65" s="60">
        <f t="shared" si="41"/>
        <v>0</v>
      </c>
      <c r="AT65" s="78"/>
      <c r="AU65" s="60">
        <f t="shared" si="42"/>
        <v>0</v>
      </c>
      <c r="AV65" s="60">
        <f t="shared" si="43"/>
        <v>0</v>
      </c>
      <c r="AW65" s="134">
        <f>AU65*AB88/AE88</f>
        <v>0</v>
      </c>
      <c r="AX65" s="61">
        <f>AV65*AB88/AE88</f>
        <v>0</v>
      </c>
      <c r="AY65" s="5"/>
      <c r="AZ65" s="5"/>
      <c r="BA65" s="40"/>
      <c r="BB65" s="41"/>
      <c r="BC65" s="42"/>
      <c r="BD65" s="35"/>
      <c r="BE65" s="43">
        <f t="shared" si="44"/>
        <v>0</v>
      </c>
      <c r="BF65" s="35"/>
      <c r="BG65" s="44">
        <f t="shared" si="45"/>
        <v>0</v>
      </c>
    </row>
    <row r="66" spans="12:100" ht="15" customHeight="1" x14ac:dyDescent="0.2">
      <c r="L66" s="40"/>
      <c r="M66" s="49"/>
      <c r="N66" s="42"/>
      <c r="O66" s="42"/>
      <c r="P66" s="35"/>
      <c r="Q66" s="35"/>
      <c r="R66" s="53">
        <f t="shared" si="35"/>
        <v>0</v>
      </c>
      <c r="S66" s="53">
        <f t="shared" si="36"/>
        <v>0</v>
      </c>
      <c r="T66" s="44">
        <f t="shared" si="37"/>
        <v>0</v>
      </c>
      <c r="U66" s="5"/>
      <c r="W66" s="56"/>
      <c r="X66" s="57"/>
      <c r="Y66" s="35"/>
      <c r="Z66" s="35"/>
      <c r="AA66" s="35"/>
      <c r="AB66" s="35"/>
      <c r="AC66" s="60">
        <f t="shared" si="38"/>
        <v>0</v>
      </c>
      <c r="AD66" s="60">
        <f t="shared" si="38"/>
        <v>0</v>
      </c>
      <c r="AE66" s="78"/>
      <c r="AF66" s="60">
        <f t="shared" si="39"/>
        <v>0</v>
      </c>
      <c r="AG66" s="60">
        <f t="shared" si="40"/>
        <v>0</v>
      </c>
      <c r="AH66" s="134">
        <f>AF66*AB88/AE88</f>
        <v>0</v>
      </c>
      <c r="AI66" s="61">
        <f>AG66*AB88/AE88</f>
        <v>0</v>
      </c>
      <c r="AJ66" s="5"/>
      <c r="AK66" s="5"/>
      <c r="AL66" s="56"/>
      <c r="AM66" s="57"/>
      <c r="AN66" s="35"/>
      <c r="AO66" s="35"/>
      <c r="AP66" s="35"/>
      <c r="AQ66" s="35"/>
      <c r="AR66" s="60">
        <f t="shared" si="41"/>
        <v>0</v>
      </c>
      <c r="AS66" s="60">
        <f t="shared" si="41"/>
        <v>0</v>
      </c>
      <c r="AT66" s="78"/>
      <c r="AU66" s="60">
        <f t="shared" si="42"/>
        <v>0</v>
      </c>
      <c r="AV66" s="60">
        <f t="shared" si="43"/>
        <v>0</v>
      </c>
      <c r="AW66" s="134">
        <f>AU66*AB88/AE88</f>
        <v>0</v>
      </c>
      <c r="AX66" s="61">
        <f>AV66*AB88/AE88</f>
        <v>0</v>
      </c>
      <c r="AY66" s="5"/>
      <c r="AZ66" s="5"/>
      <c r="BA66" s="40"/>
      <c r="BB66" s="41"/>
      <c r="BC66" s="42"/>
      <c r="BD66" s="35"/>
      <c r="BE66" s="43">
        <f t="shared" si="44"/>
        <v>0</v>
      </c>
      <c r="BF66" s="35"/>
      <c r="BG66" s="44">
        <f t="shared" si="45"/>
        <v>0</v>
      </c>
    </row>
    <row r="67" spans="12:100" ht="15" customHeight="1" x14ac:dyDescent="0.25">
      <c r="L67" s="40"/>
      <c r="M67" s="49"/>
      <c r="N67" s="42"/>
      <c r="O67" s="42"/>
      <c r="P67" s="35"/>
      <c r="Q67" s="35"/>
      <c r="R67" s="53">
        <f t="shared" si="35"/>
        <v>0</v>
      </c>
      <c r="S67" s="53">
        <f t="shared" si="36"/>
        <v>0</v>
      </c>
      <c r="T67" s="44">
        <f t="shared" si="37"/>
        <v>0</v>
      </c>
      <c r="U67" s="5"/>
      <c r="W67" s="56"/>
      <c r="X67" s="57"/>
      <c r="Y67" s="35"/>
      <c r="Z67" s="35"/>
      <c r="AA67" s="35"/>
      <c r="AB67" s="35"/>
      <c r="AC67" s="60">
        <f t="shared" si="38"/>
        <v>0</v>
      </c>
      <c r="AD67" s="60">
        <f t="shared" si="38"/>
        <v>0</v>
      </c>
      <c r="AE67" s="78"/>
      <c r="AF67" s="60">
        <f t="shared" si="39"/>
        <v>0</v>
      </c>
      <c r="AG67" s="60">
        <f t="shared" si="40"/>
        <v>0</v>
      </c>
      <c r="AH67" s="134">
        <f>AF67*AB88/AE88</f>
        <v>0</v>
      </c>
      <c r="AI67" s="61">
        <f>AG67*AB88/AE88</f>
        <v>0</v>
      </c>
      <c r="AJ67" s="5"/>
      <c r="AK67" s="5"/>
      <c r="AL67" s="56"/>
      <c r="AM67" s="57"/>
      <c r="AN67" s="35"/>
      <c r="AO67" s="35"/>
      <c r="AP67" s="35"/>
      <c r="AQ67" s="35"/>
      <c r="AR67" s="60">
        <f t="shared" si="41"/>
        <v>0</v>
      </c>
      <c r="AS67" s="60">
        <f t="shared" si="41"/>
        <v>0</v>
      </c>
      <c r="AT67" s="78"/>
      <c r="AU67" s="60">
        <f t="shared" si="42"/>
        <v>0</v>
      </c>
      <c r="AV67" s="60">
        <f t="shared" si="43"/>
        <v>0</v>
      </c>
      <c r="AW67" s="134">
        <f>AU67*AB88/AE88</f>
        <v>0</v>
      </c>
      <c r="AX67" s="61">
        <f>AV67*AB88/AE88</f>
        <v>0</v>
      </c>
      <c r="AY67" s="5"/>
      <c r="AZ67" s="5"/>
      <c r="BA67" s="40"/>
      <c r="BB67" s="41"/>
      <c r="BC67" s="42"/>
      <c r="BD67" s="35"/>
      <c r="BE67" s="43">
        <f t="shared" si="44"/>
        <v>0</v>
      </c>
      <c r="BF67" s="35"/>
      <c r="BG67" s="44">
        <f t="shared" si="45"/>
        <v>0</v>
      </c>
      <c r="BU67" s="182" t="s">
        <v>110</v>
      </c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</row>
    <row r="68" spans="12:100" ht="15" customHeight="1" thickBot="1" x14ac:dyDescent="0.3">
      <c r="L68" s="40"/>
      <c r="M68" s="49"/>
      <c r="N68" s="42"/>
      <c r="O68" s="42"/>
      <c r="P68" s="35"/>
      <c r="Q68" s="35"/>
      <c r="R68" s="53">
        <f t="shared" si="35"/>
        <v>0</v>
      </c>
      <c r="S68" s="53">
        <f t="shared" si="36"/>
        <v>0</v>
      </c>
      <c r="T68" s="44">
        <f t="shared" si="37"/>
        <v>0</v>
      </c>
      <c r="U68" s="5"/>
      <c r="W68" s="56"/>
      <c r="X68" s="57"/>
      <c r="Y68" s="35"/>
      <c r="Z68" s="35"/>
      <c r="AA68" s="35"/>
      <c r="AB68" s="35"/>
      <c r="AC68" s="60">
        <f t="shared" si="38"/>
        <v>0</v>
      </c>
      <c r="AD68" s="60">
        <f t="shared" si="38"/>
        <v>0</v>
      </c>
      <c r="AE68" s="78"/>
      <c r="AF68" s="60">
        <f t="shared" si="39"/>
        <v>0</v>
      </c>
      <c r="AG68" s="60">
        <f t="shared" si="40"/>
        <v>0</v>
      </c>
      <c r="AH68" s="134">
        <f>AF68*AB88/AE88</f>
        <v>0</v>
      </c>
      <c r="AI68" s="61">
        <f>AG68*AB88/AE88</f>
        <v>0</v>
      </c>
      <c r="AJ68" s="5"/>
      <c r="AK68" s="5"/>
      <c r="AL68" s="56"/>
      <c r="AM68" s="57"/>
      <c r="AN68" s="35"/>
      <c r="AO68" s="35"/>
      <c r="AP68" s="35"/>
      <c r="AQ68" s="35"/>
      <c r="AR68" s="60">
        <f t="shared" si="41"/>
        <v>0</v>
      </c>
      <c r="AS68" s="60">
        <f t="shared" si="41"/>
        <v>0</v>
      </c>
      <c r="AT68" s="78"/>
      <c r="AU68" s="60">
        <f t="shared" si="42"/>
        <v>0</v>
      </c>
      <c r="AV68" s="60">
        <f t="shared" si="43"/>
        <v>0</v>
      </c>
      <c r="AW68" s="134">
        <f>AU68*AB88/AE88</f>
        <v>0</v>
      </c>
      <c r="AX68" s="61">
        <f>AV68*AB88/AE88</f>
        <v>0</v>
      </c>
      <c r="AY68" s="5"/>
      <c r="AZ68" s="5"/>
      <c r="BA68" s="40"/>
      <c r="BB68" s="41"/>
      <c r="BC68" s="42"/>
      <c r="BD68" s="35"/>
      <c r="BE68" s="43">
        <f t="shared" si="44"/>
        <v>0</v>
      </c>
      <c r="BF68" s="35"/>
      <c r="BG68" s="44">
        <f t="shared" si="45"/>
        <v>0</v>
      </c>
      <c r="BU68" s="8"/>
      <c r="BV68" s="5"/>
      <c r="BW68" s="5"/>
      <c r="BX68" s="9"/>
      <c r="BY68" s="9"/>
      <c r="BZ68" s="5"/>
      <c r="CA68" s="5"/>
      <c r="CB68" s="5"/>
      <c r="CC68" s="5"/>
      <c r="CD68" s="5"/>
      <c r="CE68" s="5"/>
      <c r="CF68" s="5"/>
      <c r="CG68" s="5"/>
      <c r="CJ68" s="182" t="s">
        <v>111</v>
      </c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</row>
    <row r="69" spans="12:100" ht="15" customHeight="1" thickBot="1" x14ac:dyDescent="0.25">
      <c r="L69" s="40"/>
      <c r="M69" s="49"/>
      <c r="N69" s="42"/>
      <c r="O69" s="42"/>
      <c r="P69" s="35"/>
      <c r="Q69" s="35"/>
      <c r="R69" s="53">
        <f t="shared" si="35"/>
        <v>0</v>
      </c>
      <c r="S69" s="53">
        <f t="shared" si="36"/>
        <v>0</v>
      </c>
      <c r="T69" s="44">
        <f t="shared" si="37"/>
        <v>0</v>
      </c>
      <c r="U69" s="5"/>
      <c r="W69" s="56"/>
      <c r="X69" s="57"/>
      <c r="Y69" s="35"/>
      <c r="Z69" s="35"/>
      <c r="AA69" s="35"/>
      <c r="AB69" s="35"/>
      <c r="AC69" s="60">
        <f t="shared" si="38"/>
        <v>0</v>
      </c>
      <c r="AD69" s="60">
        <f t="shared" si="38"/>
        <v>0</v>
      </c>
      <c r="AE69" s="78"/>
      <c r="AF69" s="60">
        <f t="shared" si="39"/>
        <v>0</v>
      </c>
      <c r="AG69" s="60">
        <f t="shared" si="40"/>
        <v>0</v>
      </c>
      <c r="AH69" s="134">
        <f>AF69*AB88/AE88</f>
        <v>0</v>
      </c>
      <c r="AI69" s="61">
        <f>AG69*AB88/AE88</f>
        <v>0</v>
      </c>
      <c r="AJ69" s="5"/>
      <c r="AK69" s="5"/>
      <c r="AL69" s="56"/>
      <c r="AM69" s="57"/>
      <c r="AN69" s="35"/>
      <c r="AO69" s="35"/>
      <c r="AP69" s="35"/>
      <c r="AQ69" s="35"/>
      <c r="AR69" s="60">
        <f t="shared" si="41"/>
        <v>0</v>
      </c>
      <c r="AS69" s="60">
        <f t="shared" si="41"/>
        <v>0</v>
      </c>
      <c r="AT69" s="78"/>
      <c r="AU69" s="60">
        <f t="shared" si="42"/>
        <v>0</v>
      </c>
      <c r="AV69" s="60">
        <f t="shared" si="43"/>
        <v>0</v>
      </c>
      <c r="AW69" s="134">
        <f>AU69*AB88/AE88</f>
        <v>0</v>
      </c>
      <c r="AX69" s="61">
        <f>AV69*AB88/AE88</f>
        <v>0</v>
      </c>
      <c r="AY69" s="5"/>
      <c r="AZ69" s="5"/>
      <c r="BA69" s="40"/>
      <c r="BB69" s="41"/>
      <c r="BC69" s="42"/>
      <c r="BD69" s="35"/>
      <c r="BE69" s="43">
        <f t="shared" si="44"/>
        <v>0</v>
      </c>
      <c r="BF69" s="35"/>
      <c r="BG69" s="44">
        <f t="shared" si="45"/>
        <v>0</v>
      </c>
      <c r="BU69" s="15" t="s">
        <v>22</v>
      </c>
      <c r="BV69" s="16" t="s">
        <v>23</v>
      </c>
      <c r="BW69" s="179" t="s">
        <v>24</v>
      </c>
      <c r="BX69" s="179"/>
      <c r="BY69" s="180" t="s">
        <v>88</v>
      </c>
      <c r="BZ69" s="180"/>
      <c r="CA69" s="180" t="s">
        <v>26</v>
      </c>
      <c r="CB69" s="180"/>
      <c r="CC69" s="16" t="s">
        <v>116</v>
      </c>
      <c r="CD69" s="180" t="s">
        <v>28</v>
      </c>
      <c r="CE69" s="180"/>
      <c r="CF69" s="181" t="s">
        <v>117</v>
      </c>
      <c r="CG69" s="181"/>
      <c r="CJ69" s="8"/>
      <c r="CK69" s="5"/>
      <c r="CL69" s="5"/>
      <c r="CM69" s="9"/>
      <c r="CN69" s="9"/>
      <c r="CO69" s="5"/>
      <c r="CP69" s="5"/>
      <c r="CQ69" s="5"/>
      <c r="CR69" s="5"/>
      <c r="CS69" s="5"/>
      <c r="CT69" s="5"/>
      <c r="CU69" s="5"/>
      <c r="CV69" s="5"/>
    </row>
    <row r="70" spans="12:100" ht="15" customHeight="1" x14ac:dyDescent="0.25">
      <c r="L70" s="40"/>
      <c r="M70" s="49"/>
      <c r="N70" s="42"/>
      <c r="O70" s="42"/>
      <c r="P70" s="35"/>
      <c r="Q70" s="35"/>
      <c r="R70" s="53">
        <f t="shared" si="35"/>
        <v>0</v>
      </c>
      <c r="S70" s="53">
        <f t="shared" si="36"/>
        <v>0</v>
      </c>
      <c r="T70" s="44">
        <f t="shared" si="37"/>
        <v>0</v>
      </c>
      <c r="U70" s="5"/>
      <c r="W70" s="56"/>
      <c r="X70" s="57"/>
      <c r="Y70" s="35"/>
      <c r="Z70" s="35"/>
      <c r="AA70" s="35"/>
      <c r="AB70" s="35"/>
      <c r="AC70" s="60">
        <f t="shared" si="38"/>
        <v>0</v>
      </c>
      <c r="AD70" s="60">
        <f t="shared" si="38"/>
        <v>0</v>
      </c>
      <c r="AE70" s="78"/>
      <c r="AF70" s="60">
        <f t="shared" si="39"/>
        <v>0</v>
      </c>
      <c r="AG70" s="60">
        <f t="shared" si="40"/>
        <v>0</v>
      </c>
      <c r="AH70" s="134">
        <f>AF70*AB88/AE88</f>
        <v>0</v>
      </c>
      <c r="AI70" s="61">
        <f>AG70*AB88/AE88</f>
        <v>0</v>
      </c>
      <c r="AJ70" s="5"/>
      <c r="AK70" s="5"/>
      <c r="AL70" s="56"/>
      <c r="AM70" s="57"/>
      <c r="AN70" s="35"/>
      <c r="AO70" s="35"/>
      <c r="AP70" s="35"/>
      <c r="AQ70" s="35"/>
      <c r="AR70" s="60">
        <f t="shared" si="41"/>
        <v>0</v>
      </c>
      <c r="AS70" s="60">
        <f t="shared" si="41"/>
        <v>0</v>
      </c>
      <c r="AT70" s="78"/>
      <c r="AU70" s="60">
        <f t="shared" si="42"/>
        <v>0</v>
      </c>
      <c r="AV70" s="60">
        <f t="shared" si="43"/>
        <v>0</v>
      </c>
      <c r="AW70" s="134">
        <f>AU70*AB88/AE88</f>
        <v>0</v>
      </c>
      <c r="AX70" s="61">
        <f>AV70*AB88/AE88</f>
        <v>0</v>
      </c>
      <c r="AY70" s="5"/>
      <c r="AZ70" s="5"/>
      <c r="BA70" s="40"/>
      <c r="BB70" s="41"/>
      <c r="BC70" s="42"/>
      <c r="BD70" s="35"/>
      <c r="BE70" s="43">
        <f t="shared" si="44"/>
        <v>0</v>
      </c>
      <c r="BF70" s="35"/>
      <c r="BG70" s="44">
        <f t="shared" si="45"/>
        <v>0</v>
      </c>
      <c r="BU70" s="128"/>
      <c r="BV70" s="129"/>
      <c r="BW70" s="130" t="s">
        <v>119</v>
      </c>
      <c r="BX70" s="131" t="s">
        <v>130</v>
      </c>
      <c r="BY70" s="130" t="s">
        <v>119</v>
      </c>
      <c r="BZ70" s="131" t="s">
        <v>130</v>
      </c>
      <c r="CA70" s="130" t="s">
        <v>119</v>
      </c>
      <c r="CB70" s="131" t="s">
        <v>130</v>
      </c>
      <c r="CC70" s="131" t="s">
        <v>120</v>
      </c>
      <c r="CD70" s="130" t="s">
        <v>119</v>
      </c>
      <c r="CE70" s="131" t="s">
        <v>130</v>
      </c>
      <c r="CF70" s="130" t="s">
        <v>119</v>
      </c>
      <c r="CG70" s="132" t="s">
        <v>130</v>
      </c>
      <c r="CJ70" s="15" t="s">
        <v>22</v>
      </c>
      <c r="CK70" s="16" t="s">
        <v>23</v>
      </c>
      <c r="CL70" s="179" t="s">
        <v>24</v>
      </c>
      <c r="CM70" s="179"/>
      <c r="CN70" s="180" t="s">
        <v>88</v>
      </c>
      <c r="CO70" s="180"/>
      <c r="CP70" s="180" t="s">
        <v>26</v>
      </c>
      <c r="CQ70" s="180"/>
      <c r="CR70" s="16" t="s">
        <v>116</v>
      </c>
      <c r="CS70" s="180" t="s">
        <v>28</v>
      </c>
      <c r="CT70" s="180"/>
      <c r="CU70" s="181" t="s">
        <v>117</v>
      </c>
      <c r="CV70" s="181"/>
    </row>
    <row r="71" spans="12:100" ht="15" customHeight="1" x14ac:dyDescent="0.25">
      <c r="L71" s="40"/>
      <c r="M71" s="49"/>
      <c r="N71" s="42"/>
      <c r="O71" s="42"/>
      <c r="P71" s="35"/>
      <c r="Q71" s="35"/>
      <c r="R71" s="53">
        <f t="shared" si="35"/>
        <v>0</v>
      </c>
      <c r="S71" s="53">
        <f t="shared" si="36"/>
        <v>0</v>
      </c>
      <c r="T71" s="44">
        <f t="shared" si="37"/>
        <v>0</v>
      </c>
      <c r="U71" s="5"/>
      <c r="W71" s="56"/>
      <c r="X71" s="57"/>
      <c r="Y71" s="35"/>
      <c r="Z71" s="35"/>
      <c r="AA71" s="35"/>
      <c r="AB71" s="35"/>
      <c r="AC71" s="60">
        <f t="shared" si="38"/>
        <v>0</v>
      </c>
      <c r="AD71" s="60">
        <f t="shared" si="38"/>
        <v>0</v>
      </c>
      <c r="AE71" s="78"/>
      <c r="AF71" s="60">
        <f t="shared" si="39"/>
        <v>0</v>
      </c>
      <c r="AG71" s="60">
        <f t="shared" si="40"/>
        <v>0</v>
      </c>
      <c r="AH71" s="134">
        <f>AF71*AB88/AE88</f>
        <v>0</v>
      </c>
      <c r="AI71" s="61">
        <f>AG71*AB88/AE88</f>
        <v>0</v>
      </c>
      <c r="AJ71" s="5"/>
      <c r="AK71" s="5"/>
      <c r="AL71" s="56"/>
      <c r="AM71" s="57"/>
      <c r="AN71" s="35"/>
      <c r="AO71" s="35"/>
      <c r="AP71" s="35"/>
      <c r="AQ71" s="35"/>
      <c r="AR71" s="60">
        <f t="shared" si="41"/>
        <v>0</v>
      </c>
      <c r="AS71" s="60">
        <f t="shared" si="41"/>
        <v>0</v>
      </c>
      <c r="AT71" s="78"/>
      <c r="AU71" s="60">
        <f t="shared" si="42"/>
        <v>0</v>
      </c>
      <c r="AV71" s="60">
        <f t="shared" si="43"/>
        <v>0</v>
      </c>
      <c r="AW71" s="134">
        <f>AU71*AB88/AE88</f>
        <v>0</v>
      </c>
      <c r="AX71" s="61">
        <f>AV71*AB88/AE88</f>
        <v>0</v>
      </c>
      <c r="AY71" s="5"/>
      <c r="AZ71" s="5"/>
      <c r="BA71" s="40"/>
      <c r="BB71" s="41"/>
      <c r="BC71" s="42"/>
      <c r="BD71" s="35"/>
      <c r="BE71" s="43">
        <f t="shared" si="44"/>
        <v>0</v>
      </c>
      <c r="BF71" s="35"/>
      <c r="BG71" s="44">
        <f t="shared" si="45"/>
        <v>0</v>
      </c>
      <c r="BU71" s="56"/>
      <c r="BV71" s="57"/>
      <c r="BW71" s="35"/>
      <c r="BX71" s="35"/>
      <c r="BY71" s="35"/>
      <c r="BZ71" s="35"/>
      <c r="CA71" s="60">
        <f t="shared" ref="CA71:CB91" si="46">BW71-BY71</f>
        <v>0</v>
      </c>
      <c r="CB71" s="60">
        <f t="shared" si="46"/>
        <v>0</v>
      </c>
      <c r="CC71" s="78"/>
      <c r="CD71" s="60">
        <f t="shared" ref="CD71:CD91" si="47">CA71*CC71%</f>
        <v>0</v>
      </c>
      <c r="CE71" s="60">
        <f t="shared" ref="CE71:CE91" si="48">CB71*CC71%</f>
        <v>0</v>
      </c>
      <c r="CF71" s="134">
        <f>CD71*AB88/AE88</f>
        <v>0</v>
      </c>
      <c r="CG71" s="134">
        <f>CE71*AB88/AE88</f>
        <v>0</v>
      </c>
      <c r="CJ71" s="128"/>
      <c r="CK71" s="129"/>
      <c r="CL71" s="130" t="s">
        <v>119</v>
      </c>
      <c r="CM71" s="131" t="s">
        <v>130</v>
      </c>
      <c r="CN71" s="130" t="s">
        <v>119</v>
      </c>
      <c r="CO71" s="131" t="s">
        <v>130</v>
      </c>
      <c r="CP71" s="130" t="s">
        <v>119</v>
      </c>
      <c r="CQ71" s="131" t="s">
        <v>130</v>
      </c>
      <c r="CR71" s="131" t="s">
        <v>120</v>
      </c>
      <c r="CS71" s="130" t="s">
        <v>119</v>
      </c>
      <c r="CT71" s="131" t="s">
        <v>130</v>
      </c>
      <c r="CU71" s="130" t="s">
        <v>119</v>
      </c>
      <c r="CV71" s="132" t="s">
        <v>130</v>
      </c>
    </row>
    <row r="72" spans="12:100" ht="15" customHeight="1" x14ac:dyDescent="0.2">
      <c r="L72" s="40"/>
      <c r="M72" s="49"/>
      <c r="N72" s="42"/>
      <c r="O72" s="42"/>
      <c r="P72" s="35"/>
      <c r="Q72" s="35"/>
      <c r="R72" s="53">
        <f t="shared" si="35"/>
        <v>0</v>
      </c>
      <c r="S72" s="53">
        <f t="shared" si="36"/>
        <v>0</v>
      </c>
      <c r="T72" s="44">
        <f t="shared" si="37"/>
        <v>0</v>
      </c>
      <c r="U72" s="5"/>
      <c r="W72" s="56"/>
      <c r="X72" s="57"/>
      <c r="Y72" s="35"/>
      <c r="Z72" s="35"/>
      <c r="AA72" s="35"/>
      <c r="AB72" s="35"/>
      <c r="AC72" s="60">
        <f t="shared" si="38"/>
        <v>0</v>
      </c>
      <c r="AD72" s="60">
        <f t="shared" si="38"/>
        <v>0</v>
      </c>
      <c r="AE72" s="78"/>
      <c r="AF72" s="60">
        <f t="shared" si="39"/>
        <v>0</v>
      </c>
      <c r="AG72" s="60">
        <f t="shared" si="40"/>
        <v>0</v>
      </c>
      <c r="AH72" s="134">
        <f>AF72*AB88/AE88</f>
        <v>0</v>
      </c>
      <c r="AI72" s="61">
        <f>AG72*AB88/AE88</f>
        <v>0</v>
      </c>
      <c r="AJ72" s="5"/>
      <c r="AK72" s="5"/>
      <c r="AL72" s="56"/>
      <c r="AM72" s="57"/>
      <c r="AN72" s="35"/>
      <c r="AO72" s="35"/>
      <c r="AP72" s="35"/>
      <c r="AQ72" s="35"/>
      <c r="AR72" s="60">
        <f t="shared" si="41"/>
        <v>0</v>
      </c>
      <c r="AS72" s="60">
        <f t="shared" si="41"/>
        <v>0</v>
      </c>
      <c r="AT72" s="78"/>
      <c r="AU72" s="60">
        <f t="shared" si="42"/>
        <v>0</v>
      </c>
      <c r="AV72" s="60">
        <f t="shared" si="43"/>
        <v>0</v>
      </c>
      <c r="AW72" s="134">
        <f>AU72*AB88/AE88</f>
        <v>0</v>
      </c>
      <c r="AX72" s="61">
        <f>AV72*AB88/AE88</f>
        <v>0</v>
      </c>
      <c r="AY72" s="5"/>
      <c r="AZ72" s="5"/>
      <c r="BA72" s="40"/>
      <c r="BB72" s="41"/>
      <c r="BC72" s="42"/>
      <c r="BD72" s="35"/>
      <c r="BE72" s="43">
        <f t="shared" si="44"/>
        <v>0</v>
      </c>
      <c r="BF72" s="35"/>
      <c r="BG72" s="44">
        <f t="shared" si="45"/>
        <v>0</v>
      </c>
      <c r="BU72" s="56"/>
      <c r="BV72" s="57"/>
      <c r="BW72" s="35"/>
      <c r="BX72" s="35"/>
      <c r="BY72" s="35"/>
      <c r="BZ72" s="35"/>
      <c r="CA72" s="60">
        <f t="shared" si="46"/>
        <v>0</v>
      </c>
      <c r="CB72" s="60">
        <f t="shared" si="46"/>
        <v>0</v>
      </c>
      <c r="CC72" s="78"/>
      <c r="CD72" s="60">
        <f t="shared" si="47"/>
        <v>0</v>
      </c>
      <c r="CE72" s="60">
        <f t="shared" si="48"/>
        <v>0</v>
      </c>
      <c r="CF72" s="134">
        <f>CD72*AB88/AE88</f>
        <v>0</v>
      </c>
      <c r="CG72" s="134">
        <f>CE72*AB88/AE88</f>
        <v>0</v>
      </c>
      <c r="CJ72" s="56"/>
      <c r="CK72" s="57"/>
      <c r="CL72" s="35"/>
      <c r="CM72" s="35"/>
      <c r="CN72" s="35"/>
      <c r="CO72" s="35"/>
      <c r="CP72" s="60">
        <f t="shared" ref="CP72:CQ92" si="49">CL72-CN72</f>
        <v>0</v>
      </c>
      <c r="CQ72" s="60">
        <f t="shared" si="49"/>
        <v>0</v>
      </c>
      <c r="CR72" s="78"/>
      <c r="CS72" s="60">
        <f t="shared" ref="CS72:CS92" si="50">CP72*CR72%</f>
        <v>0</v>
      </c>
      <c r="CT72" s="60">
        <f t="shared" ref="CT72:CT92" si="51">CQ72*CR72%</f>
        <v>0</v>
      </c>
      <c r="CU72" s="134">
        <f>CS72*AB88/AE88</f>
        <v>0</v>
      </c>
      <c r="CV72" s="61">
        <f>CT72*AB88/AE88</f>
        <v>0</v>
      </c>
    </row>
    <row r="73" spans="12:100" ht="15" customHeight="1" x14ac:dyDescent="0.2">
      <c r="L73" s="40"/>
      <c r="M73" s="49"/>
      <c r="N73" s="42"/>
      <c r="O73" s="42"/>
      <c r="P73" s="35"/>
      <c r="Q73" s="35"/>
      <c r="R73" s="53">
        <f t="shared" si="35"/>
        <v>0</v>
      </c>
      <c r="S73" s="53">
        <f t="shared" si="36"/>
        <v>0</v>
      </c>
      <c r="T73" s="44">
        <f t="shared" si="37"/>
        <v>0</v>
      </c>
      <c r="U73" s="5"/>
      <c r="W73" s="56"/>
      <c r="X73" s="57"/>
      <c r="Y73" s="35"/>
      <c r="Z73" s="35"/>
      <c r="AA73" s="35"/>
      <c r="AB73" s="35"/>
      <c r="AC73" s="60">
        <f t="shared" si="38"/>
        <v>0</v>
      </c>
      <c r="AD73" s="60">
        <f t="shared" si="38"/>
        <v>0</v>
      </c>
      <c r="AE73" s="78"/>
      <c r="AF73" s="60">
        <f t="shared" si="39"/>
        <v>0</v>
      </c>
      <c r="AG73" s="60">
        <f t="shared" si="40"/>
        <v>0</v>
      </c>
      <c r="AH73" s="134">
        <f>AF73*AB88/AE88</f>
        <v>0</v>
      </c>
      <c r="AI73" s="61">
        <f>AG73*AB88/AE88</f>
        <v>0</v>
      </c>
      <c r="AJ73" s="5"/>
      <c r="AK73" s="5"/>
      <c r="AL73" s="56"/>
      <c r="AM73" s="57"/>
      <c r="AN73" s="35"/>
      <c r="AO73" s="35"/>
      <c r="AP73" s="35"/>
      <c r="AQ73" s="35"/>
      <c r="AR73" s="60">
        <f t="shared" si="41"/>
        <v>0</v>
      </c>
      <c r="AS73" s="60">
        <f t="shared" si="41"/>
        <v>0</v>
      </c>
      <c r="AT73" s="78"/>
      <c r="AU73" s="60">
        <f t="shared" si="42"/>
        <v>0</v>
      </c>
      <c r="AV73" s="60">
        <f t="shared" si="43"/>
        <v>0</v>
      </c>
      <c r="AW73" s="134">
        <f>AU73*AB88/AE88</f>
        <v>0</v>
      </c>
      <c r="AX73" s="61">
        <f>AV73*AB88/AE88</f>
        <v>0</v>
      </c>
      <c r="AY73" s="5"/>
      <c r="AZ73" s="5"/>
      <c r="BA73" s="40"/>
      <c r="BB73" s="41"/>
      <c r="BC73" s="42"/>
      <c r="BD73" s="35"/>
      <c r="BE73" s="43">
        <f t="shared" si="44"/>
        <v>0</v>
      </c>
      <c r="BF73" s="35"/>
      <c r="BG73" s="44">
        <f t="shared" si="45"/>
        <v>0</v>
      </c>
      <c r="BU73" s="56"/>
      <c r="BV73" s="57"/>
      <c r="BW73" s="35"/>
      <c r="BX73" s="35"/>
      <c r="BY73" s="35"/>
      <c r="BZ73" s="35"/>
      <c r="CA73" s="60">
        <f t="shared" si="46"/>
        <v>0</v>
      </c>
      <c r="CB73" s="60">
        <f t="shared" si="46"/>
        <v>0</v>
      </c>
      <c r="CC73" s="78"/>
      <c r="CD73" s="60">
        <f t="shared" si="47"/>
        <v>0</v>
      </c>
      <c r="CE73" s="60">
        <f t="shared" si="48"/>
        <v>0</v>
      </c>
      <c r="CF73" s="134">
        <f>CD73*AB88/AE88</f>
        <v>0</v>
      </c>
      <c r="CG73" s="134">
        <f>CE73*AB88/AE88</f>
        <v>0</v>
      </c>
      <c r="CJ73" s="56"/>
      <c r="CK73" s="57"/>
      <c r="CL73" s="35"/>
      <c r="CM73" s="35"/>
      <c r="CN73" s="35"/>
      <c r="CO73" s="35"/>
      <c r="CP73" s="60">
        <f t="shared" si="49"/>
        <v>0</v>
      </c>
      <c r="CQ73" s="60">
        <f t="shared" si="49"/>
        <v>0</v>
      </c>
      <c r="CR73" s="78"/>
      <c r="CS73" s="60">
        <f t="shared" si="50"/>
        <v>0</v>
      </c>
      <c r="CT73" s="60">
        <f t="shared" si="51"/>
        <v>0</v>
      </c>
      <c r="CU73" s="134">
        <f>CS73*AB88/AE88</f>
        <v>0</v>
      </c>
      <c r="CV73" s="61">
        <f>CT73*AB88/AE88</f>
        <v>0</v>
      </c>
    </row>
    <row r="74" spans="12:100" ht="15" customHeight="1" x14ac:dyDescent="0.2">
      <c r="L74" s="40"/>
      <c r="M74" s="49"/>
      <c r="N74" s="42"/>
      <c r="O74" s="42"/>
      <c r="P74" s="35"/>
      <c r="Q74" s="35"/>
      <c r="R74" s="53">
        <f t="shared" si="35"/>
        <v>0</v>
      </c>
      <c r="S74" s="53">
        <f t="shared" si="36"/>
        <v>0</v>
      </c>
      <c r="T74" s="44">
        <f t="shared" si="37"/>
        <v>0</v>
      </c>
      <c r="U74" s="5"/>
      <c r="W74" s="56"/>
      <c r="X74" s="159"/>
      <c r="Y74" s="160"/>
      <c r="Z74" s="35"/>
      <c r="AA74" s="35"/>
      <c r="AB74" s="35"/>
      <c r="AC74" s="60">
        <f t="shared" si="38"/>
        <v>0</v>
      </c>
      <c r="AD74" s="60">
        <f t="shared" si="38"/>
        <v>0</v>
      </c>
      <c r="AE74" s="78"/>
      <c r="AF74" s="60">
        <f t="shared" si="39"/>
        <v>0</v>
      </c>
      <c r="AG74" s="60">
        <f t="shared" si="40"/>
        <v>0</v>
      </c>
      <c r="AH74" s="134">
        <f>AF74*AB88/AE88</f>
        <v>0</v>
      </c>
      <c r="AI74" s="61">
        <f>AG74*AB88/AE88</f>
        <v>0</v>
      </c>
      <c r="AJ74" s="5"/>
      <c r="AK74" s="5"/>
      <c r="AL74" s="56"/>
      <c r="AM74" s="159"/>
      <c r="AN74" s="160"/>
      <c r="AO74" s="35"/>
      <c r="AP74" s="35"/>
      <c r="AQ74" s="35"/>
      <c r="AR74" s="60">
        <f t="shared" si="41"/>
        <v>0</v>
      </c>
      <c r="AS74" s="60">
        <f t="shared" si="41"/>
        <v>0</v>
      </c>
      <c r="AT74" s="78"/>
      <c r="AU74" s="60">
        <f t="shared" si="42"/>
        <v>0</v>
      </c>
      <c r="AV74" s="60">
        <f t="shared" si="43"/>
        <v>0</v>
      </c>
      <c r="AW74" s="134">
        <f>AU74*AB88/AE88</f>
        <v>0</v>
      </c>
      <c r="AX74" s="61">
        <f>AV74*AB88/AE88</f>
        <v>0</v>
      </c>
      <c r="AY74" s="5"/>
      <c r="AZ74" s="5"/>
      <c r="BA74" s="40"/>
      <c r="BB74" s="41"/>
      <c r="BC74" s="42"/>
      <c r="BD74" s="35"/>
      <c r="BE74" s="43">
        <f t="shared" si="44"/>
        <v>0</v>
      </c>
      <c r="BF74" s="35"/>
      <c r="BG74" s="44">
        <f t="shared" si="45"/>
        <v>0</v>
      </c>
      <c r="BU74" s="56"/>
      <c r="BV74" s="57"/>
      <c r="BW74" s="35"/>
      <c r="BX74" s="35"/>
      <c r="BY74" s="35"/>
      <c r="BZ74" s="35"/>
      <c r="CA74" s="60">
        <f t="shared" si="46"/>
        <v>0</v>
      </c>
      <c r="CB74" s="60">
        <f t="shared" si="46"/>
        <v>0</v>
      </c>
      <c r="CC74" s="78"/>
      <c r="CD74" s="60">
        <f t="shared" si="47"/>
        <v>0</v>
      </c>
      <c r="CE74" s="60">
        <f t="shared" si="48"/>
        <v>0</v>
      </c>
      <c r="CF74" s="134">
        <f>CD74*AB88/AE88</f>
        <v>0</v>
      </c>
      <c r="CG74" s="134">
        <f>CE74*AB88/AE88</f>
        <v>0</v>
      </c>
      <c r="CJ74" s="56"/>
      <c r="CK74" s="57"/>
      <c r="CL74" s="35"/>
      <c r="CM74" s="35"/>
      <c r="CN74" s="35"/>
      <c r="CO74" s="35"/>
      <c r="CP74" s="60">
        <f t="shared" si="49"/>
        <v>0</v>
      </c>
      <c r="CQ74" s="60">
        <f t="shared" si="49"/>
        <v>0</v>
      </c>
      <c r="CR74" s="78"/>
      <c r="CS74" s="60">
        <f t="shared" si="50"/>
        <v>0</v>
      </c>
      <c r="CT74" s="60">
        <f t="shared" si="51"/>
        <v>0</v>
      </c>
      <c r="CU74" s="134">
        <f>CS74*AB88/AE88</f>
        <v>0</v>
      </c>
      <c r="CV74" s="61">
        <f>CT74*AB88/AE88</f>
        <v>0</v>
      </c>
    </row>
    <row r="75" spans="12:100" ht="14.25" x14ac:dyDescent="0.2">
      <c r="L75" s="40"/>
      <c r="M75" s="112"/>
      <c r="N75" s="42"/>
      <c r="O75" s="42"/>
      <c r="P75" s="35"/>
      <c r="Q75" s="35"/>
      <c r="R75" s="53">
        <f t="shared" si="35"/>
        <v>0</v>
      </c>
      <c r="S75" s="53">
        <f t="shared" si="36"/>
        <v>0</v>
      </c>
      <c r="T75" s="44">
        <f t="shared" si="37"/>
        <v>0</v>
      </c>
      <c r="U75" s="5"/>
      <c r="W75" s="56"/>
      <c r="X75" s="159"/>
      <c r="Y75" s="160"/>
      <c r="Z75" s="35"/>
      <c r="AA75" s="35"/>
      <c r="AB75" s="35"/>
      <c r="AC75" s="60">
        <f t="shared" si="38"/>
        <v>0</v>
      </c>
      <c r="AD75" s="60">
        <f t="shared" si="38"/>
        <v>0</v>
      </c>
      <c r="AE75" s="78"/>
      <c r="AF75" s="60">
        <f t="shared" si="39"/>
        <v>0</v>
      </c>
      <c r="AG75" s="60">
        <f t="shared" si="40"/>
        <v>0</v>
      </c>
      <c r="AH75" s="134">
        <f>AF75*AB88/AE88</f>
        <v>0</v>
      </c>
      <c r="AI75" s="61">
        <f>AG75*AB88/AE88</f>
        <v>0</v>
      </c>
      <c r="AJ75" s="5"/>
      <c r="AK75" s="5"/>
      <c r="AL75" s="56"/>
      <c r="AM75" s="159"/>
      <c r="AN75" s="160"/>
      <c r="AO75" s="35"/>
      <c r="AP75" s="35"/>
      <c r="AQ75" s="35"/>
      <c r="AR75" s="60">
        <f t="shared" si="41"/>
        <v>0</v>
      </c>
      <c r="AS75" s="60">
        <f t="shared" si="41"/>
        <v>0</v>
      </c>
      <c r="AT75" s="78"/>
      <c r="AU75" s="60">
        <f t="shared" si="42"/>
        <v>0</v>
      </c>
      <c r="AV75" s="60">
        <f t="shared" si="43"/>
        <v>0</v>
      </c>
      <c r="AW75" s="134">
        <f>AU75*AB88/AE88</f>
        <v>0</v>
      </c>
      <c r="AX75" s="61">
        <f>AV75*AB88/AE88</f>
        <v>0</v>
      </c>
      <c r="AY75" s="5"/>
      <c r="AZ75" s="5"/>
      <c r="BA75" s="40"/>
      <c r="BB75" s="41"/>
      <c r="BC75" s="42"/>
      <c r="BD75" s="35"/>
      <c r="BE75" s="43">
        <f t="shared" si="44"/>
        <v>0</v>
      </c>
      <c r="BF75" s="35"/>
      <c r="BG75" s="44">
        <f t="shared" si="45"/>
        <v>0</v>
      </c>
      <c r="BU75" s="56"/>
      <c r="BV75" s="57"/>
      <c r="BW75" s="35"/>
      <c r="BX75" s="35"/>
      <c r="BY75" s="35"/>
      <c r="BZ75" s="35"/>
      <c r="CA75" s="60">
        <f t="shared" si="46"/>
        <v>0</v>
      </c>
      <c r="CB75" s="60">
        <f t="shared" si="46"/>
        <v>0</v>
      </c>
      <c r="CC75" s="78"/>
      <c r="CD75" s="60">
        <f t="shared" si="47"/>
        <v>0</v>
      </c>
      <c r="CE75" s="60">
        <f t="shared" si="48"/>
        <v>0</v>
      </c>
      <c r="CF75" s="134">
        <f>CD75*AB88/AE88</f>
        <v>0</v>
      </c>
      <c r="CG75" s="134">
        <f>CE75*AB88/AE88</f>
        <v>0</v>
      </c>
      <c r="CJ75" s="56"/>
      <c r="CK75" s="57"/>
      <c r="CL75" s="35"/>
      <c r="CM75" s="35"/>
      <c r="CN75" s="35"/>
      <c r="CO75" s="35"/>
      <c r="CP75" s="60">
        <f t="shared" si="49"/>
        <v>0</v>
      </c>
      <c r="CQ75" s="60">
        <f t="shared" si="49"/>
        <v>0</v>
      </c>
      <c r="CR75" s="78"/>
      <c r="CS75" s="60">
        <f t="shared" si="50"/>
        <v>0</v>
      </c>
      <c r="CT75" s="60">
        <f t="shared" si="51"/>
        <v>0</v>
      </c>
      <c r="CU75" s="134">
        <f>CS75*AB88/AE88</f>
        <v>0</v>
      </c>
      <c r="CV75" s="61">
        <f>CT75*AB88/AE88</f>
        <v>0</v>
      </c>
    </row>
    <row r="76" spans="12:100" ht="14.25" x14ac:dyDescent="0.2">
      <c r="L76" s="40"/>
      <c r="M76" s="42"/>
      <c r="N76" s="42"/>
      <c r="O76" s="42"/>
      <c r="P76" s="35"/>
      <c r="Q76" s="35"/>
      <c r="R76" s="53">
        <f t="shared" si="35"/>
        <v>0</v>
      </c>
      <c r="S76" s="53">
        <f t="shared" si="36"/>
        <v>0</v>
      </c>
      <c r="T76" s="44">
        <f t="shared" si="37"/>
        <v>0</v>
      </c>
      <c r="U76" s="5"/>
      <c r="W76" s="56"/>
      <c r="X76" s="159"/>
      <c r="Y76" s="160"/>
      <c r="Z76" s="35"/>
      <c r="AA76" s="35"/>
      <c r="AB76" s="35"/>
      <c r="AC76" s="60">
        <f t="shared" si="38"/>
        <v>0</v>
      </c>
      <c r="AD76" s="60">
        <f t="shared" si="38"/>
        <v>0</v>
      </c>
      <c r="AE76" s="78"/>
      <c r="AF76" s="60">
        <f t="shared" si="39"/>
        <v>0</v>
      </c>
      <c r="AG76" s="60">
        <f t="shared" si="40"/>
        <v>0</v>
      </c>
      <c r="AH76" s="134">
        <f>AF76*AB88/AE88</f>
        <v>0</v>
      </c>
      <c r="AI76" s="61">
        <f>AG76*AB88/AE88</f>
        <v>0</v>
      </c>
      <c r="AJ76" s="5"/>
      <c r="AK76" s="5"/>
      <c r="AL76" s="56"/>
      <c r="AM76" s="159"/>
      <c r="AN76" s="160"/>
      <c r="AO76" s="35"/>
      <c r="AP76" s="35"/>
      <c r="AQ76" s="35"/>
      <c r="AR76" s="60">
        <f t="shared" si="41"/>
        <v>0</v>
      </c>
      <c r="AS76" s="60">
        <f t="shared" si="41"/>
        <v>0</v>
      </c>
      <c r="AT76" s="78"/>
      <c r="AU76" s="60">
        <f t="shared" si="42"/>
        <v>0</v>
      </c>
      <c r="AV76" s="60">
        <f t="shared" si="43"/>
        <v>0</v>
      </c>
      <c r="AW76" s="134">
        <f>AU76*AB88/AE88</f>
        <v>0</v>
      </c>
      <c r="AX76" s="61">
        <f>AV76*AB88/AE88</f>
        <v>0</v>
      </c>
      <c r="AY76" s="5"/>
      <c r="AZ76" s="5"/>
      <c r="BA76" s="40"/>
      <c r="BB76" s="41"/>
      <c r="BC76" s="42"/>
      <c r="BD76" s="35"/>
      <c r="BE76" s="43">
        <f t="shared" si="44"/>
        <v>0</v>
      </c>
      <c r="BF76" s="35"/>
      <c r="BG76" s="44">
        <f t="shared" si="45"/>
        <v>0</v>
      </c>
      <c r="BU76" s="56"/>
      <c r="BV76" s="57"/>
      <c r="BW76" s="35"/>
      <c r="BX76" s="35"/>
      <c r="BY76" s="35"/>
      <c r="BZ76" s="35"/>
      <c r="CA76" s="60">
        <f t="shared" si="46"/>
        <v>0</v>
      </c>
      <c r="CB76" s="60">
        <f t="shared" si="46"/>
        <v>0</v>
      </c>
      <c r="CC76" s="78"/>
      <c r="CD76" s="60">
        <f t="shared" si="47"/>
        <v>0</v>
      </c>
      <c r="CE76" s="60">
        <f t="shared" si="48"/>
        <v>0</v>
      </c>
      <c r="CF76" s="134">
        <f>CD76*AB88/AE88</f>
        <v>0</v>
      </c>
      <c r="CG76" s="134">
        <f>CE76*AB88/AE88</f>
        <v>0</v>
      </c>
      <c r="CJ76" s="56"/>
      <c r="CK76" s="57"/>
      <c r="CL76" s="35"/>
      <c r="CM76" s="35"/>
      <c r="CN76" s="35"/>
      <c r="CO76" s="35"/>
      <c r="CP76" s="60">
        <f t="shared" si="49"/>
        <v>0</v>
      </c>
      <c r="CQ76" s="60">
        <f t="shared" si="49"/>
        <v>0</v>
      </c>
      <c r="CR76" s="78"/>
      <c r="CS76" s="60">
        <f t="shared" si="50"/>
        <v>0</v>
      </c>
      <c r="CT76" s="60">
        <f t="shared" si="51"/>
        <v>0</v>
      </c>
      <c r="CU76" s="134">
        <f>CS76*AB88/AE88</f>
        <v>0</v>
      </c>
      <c r="CV76" s="61">
        <f>CT76*AB88/AE88</f>
        <v>0</v>
      </c>
    </row>
    <row r="77" spans="12:100" ht="15.75" thickBot="1" x14ac:dyDescent="0.3">
      <c r="L77" s="113"/>
      <c r="M77" s="114" t="s">
        <v>21</v>
      </c>
      <c r="N77" s="115"/>
      <c r="O77" s="115"/>
      <c r="P77" s="116"/>
      <c r="Q77" s="116"/>
      <c r="R77" s="161">
        <f>SUM(R49:R76)</f>
        <v>6.6959999999999997</v>
      </c>
      <c r="S77" s="161">
        <f>SUM(S49:S76)</f>
        <v>0</v>
      </c>
      <c r="T77" s="161">
        <f>SUM(T49:T76)</f>
        <v>6.6959999999999997</v>
      </c>
      <c r="U77" s="5"/>
      <c r="W77" s="56"/>
      <c r="X77" s="133"/>
      <c r="Y77" s="35"/>
      <c r="Z77" s="35"/>
      <c r="AA77" s="35"/>
      <c r="AB77" s="35"/>
      <c r="AC77" s="60">
        <f t="shared" si="38"/>
        <v>0</v>
      </c>
      <c r="AD77" s="60">
        <f t="shared" si="38"/>
        <v>0</v>
      </c>
      <c r="AE77" s="78"/>
      <c r="AF77" s="60">
        <f t="shared" si="39"/>
        <v>0</v>
      </c>
      <c r="AG77" s="60">
        <f t="shared" si="40"/>
        <v>0</v>
      </c>
      <c r="AH77" s="134">
        <f>AF77*AB88/AE88</f>
        <v>0</v>
      </c>
      <c r="AI77" s="61">
        <f>AG77*AB88/AE88</f>
        <v>0</v>
      </c>
      <c r="AJ77" s="5"/>
      <c r="AK77" s="5"/>
      <c r="AL77" s="56"/>
      <c r="AM77" s="133"/>
      <c r="AN77" s="35"/>
      <c r="AO77" s="35"/>
      <c r="AP77" s="35"/>
      <c r="AQ77" s="35"/>
      <c r="AR77" s="60">
        <f t="shared" si="41"/>
        <v>0</v>
      </c>
      <c r="AS77" s="60">
        <f t="shared" si="41"/>
        <v>0</v>
      </c>
      <c r="AT77" s="78"/>
      <c r="AU77" s="60">
        <f t="shared" si="42"/>
        <v>0</v>
      </c>
      <c r="AV77" s="60">
        <f t="shared" si="43"/>
        <v>0</v>
      </c>
      <c r="AW77" s="134">
        <f>AU77*AB88/AE88</f>
        <v>0</v>
      </c>
      <c r="AX77" s="61">
        <f>AV77*AB88/AE88</f>
        <v>0</v>
      </c>
      <c r="AY77" s="5"/>
      <c r="AZ77" s="5"/>
      <c r="BA77" s="40"/>
      <c r="BB77" s="41"/>
      <c r="BC77" s="42"/>
      <c r="BD77" s="35"/>
      <c r="BE77" s="43">
        <f t="shared" si="44"/>
        <v>0</v>
      </c>
      <c r="BF77" s="35"/>
      <c r="BG77" s="44">
        <f t="shared" si="45"/>
        <v>0</v>
      </c>
      <c r="BU77" s="56"/>
      <c r="BV77" s="57"/>
      <c r="BW77" s="35"/>
      <c r="BX77" s="35"/>
      <c r="BY77" s="35"/>
      <c r="BZ77" s="35"/>
      <c r="CA77" s="60">
        <f t="shared" si="46"/>
        <v>0</v>
      </c>
      <c r="CB77" s="60">
        <f t="shared" si="46"/>
        <v>0</v>
      </c>
      <c r="CC77" s="78"/>
      <c r="CD77" s="60">
        <f t="shared" si="47"/>
        <v>0</v>
      </c>
      <c r="CE77" s="60">
        <f t="shared" si="48"/>
        <v>0</v>
      </c>
      <c r="CF77" s="134">
        <f>CD77*AB88/AE88</f>
        <v>0</v>
      </c>
      <c r="CG77" s="134">
        <f>CE77*AB88/AE88</f>
        <v>0</v>
      </c>
      <c r="CJ77" s="56"/>
      <c r="CK77" s="57"/>
      <c r="CL77" s="35"/>
      <c r="CM77" s="35"/>
      <c r="CN77" s="35"/>
      <c r="CO77" s="35"/>
      <c r="CP77" s="60">
        <f t="shared" si="49"/>
        <v>0</v>
      </c>
      <c r="CQ77" s="60">
        <f t="shared" si="49"/>
        <v>0</v>
      </c>
      <c r="CR77" s="78"/>
      <c r="CS77" s="60">
        <f t="shared" si="50"/>
        <v>0</v>
      </c>
      <c r="CT77" s="60">
        <f t="shared" si="51"/>
        <v>0</v>
      </c>
      <c r="CU77" s="134">
        <f>CS77*AB88/AE88</f>
        <v>0</v>
      </c>
      <c r="CV77" s="61">
        <f>CT77*AB88/AE88</f>
        <v>0</v>
      </c>
    </row>
    <row r="78" spans="12:100" ht="14.25" x14ac:dyDescent="0.2">
      <c r="L78" s="5"/>
      <c r="M78" s="5"/>
      <c r="N78" s="5"/>
      <c r="O78" s="5"/>
      <c r="P78" s="5"/>
      <c r="Q78" s="5"/>
      <c r="R78" s="5"/>
      <c r="S78" s="5"/>
      <c r="T78" s="5"/>
      <c r="U78" s="5"/>
      <c r="W78" s="56"/>
      <c r="X78" s="133"/>
      <c r="Y78" s="35"/>
      <c r="Z78" s="35"/>
      <c r="AA78" s="35"/>
      <c r="AB78" s="35"/>
      <c r="AC78" s="60">
        <f t="shared" si="38"/>
        <v>0</v>
      </c>
      <c r="AD78" s="60">
        <f t="shared" si="38"/>
        <v>0</v>
      </c>
      <c r="AE78" s="78"/>
      <c r="AF78" s="60">
        <f t="shared" si="39"/>
        <v>0</v>
      </c>
      <c r="AG78" s="60">
        <f t="shared" si="40"/>
        <v>0</v>
      </c>
      <c r="AH78" s="134">
        <f>AF78*AB88/AE88</f>
        <v>0</v>
      </c>
      <c r="AI78" s="61">
        <f>AG78*AB88/AE88</f>
        <v>0</v>
      </c>
      <c r="AJ78" s="5"/>
      <c r="AK78" s="5"/>
      <c r="AL78" s="56"/>
      <c r="AM78" s="133"/>
      <c r="AN78" s="35"/>
      <c r="AO78" s="35"/>
      <c r="AP78" s="35"/>
      <c r="AQ78" s="35"/>
      <c r="AR78" s="60">
        <f t="shared" si="41"/>
        <v>0</v>
      </c>
      <c r="AS78" s="60">
        <f t="shared" si="41"/>
        <v>0</v>
      </c>
      <c r="AT78" s="78"/>
      <c r="AU78" s="60">
        <f t="shared" si="42"/>
        <v>0</v>
      </c>
      <c r="AV78" s="60">
        <f t="shared" si="43"/>
        <v>0</v>
      </c>
      <c r="AW78" s="134">
        <f>AU78*AB88/AE88</f>
        <v>0</v>
      </c>
      <c r="AX78" s="61">
        <f>AV78*AB88/AE88</f>
        <v>0</v>
      </c>
      <c r="AY78" s="5"/>
      <c r="AZ78" s="5"/>
      <c r="BA78" s="40"/>
      <c r="BB78" s="41"/>
      <c r="BC78" s="42"/>
      <c r="BD78" s="35"/>
      <c r="BE78" s="43">
        <f t="shared" si="44"/>
        <v>0</v>
      </c>
      <c r="BF78" s="35"/>
      <c r="BG78" s="44">
        <f t="shared" si="45"/>
        <v>0</v>
      </c>
      <c r="BU78" s="56"/>
      <c r="BV78" s="57"/>
      <c r="BW78" s="35"/>
      <c r="BX78" s="35"/>
      <c r="BY78" s="35"/>
      <c r="BZ78" s="35"/>
      <c r="CA78" s="60">
        <f t="shared" si="46"/>
        <v>0</v>
      </c>
      <c r="CB78" s="60">
        <f t="shared" si="46"/>
        <v>0</v>
      </c>
      <c r="CC78" s="78"/>
      <c r="CD78" s="60">
        <f t="shared" si="47"/>
        <v>0</v>
      </c>
      <c r="CE78" s="60">
        <f t="shared" si="48"/>
        <v>0</v>
      </c>
      <c r="CF78" s="134">
        <f>CD78*AB88/AE88</f>
        <v>0</v>
      </c>
      <c r="CG78" s="134">
        <f>CE78*AB88/AE88</f>
        <v>0</v>
      </c>
      <c r="CJ78" s="56"/>
      <c r="CK78" s="57"/>
      <c r="CL78" s="35"/>
      <c r="CM78" s="35"/>
      <c r="CN78" s="35"/>
      <c r="CO78" s="35"/>
      <c r="CP78" s="60">
        <f t="shared" si="49"/>
        <v>0</v>
      </c>
      <c r="CQ78" s="60">
        <f t="shared" si="49"/>
        <v>0</v>
      </c>
      <c r="CR78" s="78"/>
      <c r="CS78" s="60">
        <f t="shared" si="50"/>
        <v>0</v>
      </c>
      <c r="CT78" s="60">
        <f t="shared" si="51"/>
        <v>0</v>
      </c>
      <c r="CU78" s="134">
        <f>CS78*AB88/AE88</f>
        <v>0</v>
      </c>
      <c r="CV78" s="61">
        <f>CT78*AB88/AE88</f>
        <v>0</v>
      </c>
    </row>
    <row r="79" spans="12:100" ht="14.25" x14ac:dyDescent="0.2">
      <c r="L79" s="5"/>
      <c r="M79" s="5"/>
      <c r="N79" s="5"/>
      <c r="O79" s="5"/>
      <c r="P79" s="5"/>
      <c r="Q79" s="5"/>
      <c r="R79" s="5"/>
      <c r="S79" s="5"/>
      <c r="T79" s="5"/>
      <c r="U79" s="5"/>
      <c r="W79" s="56"/>
      <c r="X79" s="57"/>
      <c r="Y79" s="35"/>
      <c r="Z79" s="35"/>
      <c r="AA79" s="35"/>
      <c r="AB79" s="35"/>
      <c r="AC79" s="60">
        <f t="shared" si="38"/>
        <v>0</v>
      </c>
      <c r="AD79" s="60">
        <f t="shared" si="38"/>
        <v>0</v>
      </c>
      <c r="AE79" s="78"/>
      <c r="AF79" s="60">
        <f t="shared" si="39"/>
        <v>0</v>
      </c>
      <c r="AG79" s="60">
        <f t="shared" si="40"/>
        <v>0</v>
      </c>
      <c r="AH79" s="134">
        <f>AF79*AB88/AE88</f>
        <v>0</v>
      </c>
      <c r="AI79" s="61">
        <f>AG79*AB88/AE88</f>
        <v>0</v>
      </c>
      <c r="AJ79" s="5"/>
      <c r="AK79" s="5"/>
      <c r="AL79" s="56"/>
      <c r="AM79" s="57"/>
      <c r="AN79" s="35"/>
      <c r="AO79" s="35"/>
      <c r="AP79" s="35"/>
      <c r="AQ79" s="35"/>
      <c r="AR79" s="60">
        <f t="shared" si="41"/>
        <v>0</v>
      </c>
      <c r="AS79" s="60">
        <f t="shared" si="41"/>
        <v>0</v>
      </c>
      <c r="AT79" s="78"/>
      <c r="AU79" s="60">
        <f t="shared" si="42"/>
        <v>0</v>
      </c>
      <c r="AV79" s="60">
        <f t="shared" si="43"/>
        <v>0</v>
      </c>
      <c r="AW79" s="134">
        <f>AU79*AB88/AE88</f>
        <v>0</v>
      </c>
      <c r="AX79" s="61">
        <f>AV79*AB88/AE88</f>
        <v>0</v>
      </c>
      <c r="AY79" s="5"/>
      <c r="AZ79" s="5"/>
      <c r="BA79" s="40"/>
      <c r="BB79" s="41"/>
      <c r="BC79" s="42"/>
      <c r="BD79" s="35"/>
      <c r="BE79" s="43">
        <f t="shared" si="44"/>
        <v>0</v>
      </c>
      <c r="BF79" s="35"/>
      <c r="BG79" s="44">
        <f t="shared" si="45"/>
        <v>0</v>
      </c>
      <c r="BU79" s="56"/>
      <c r="BV79" s="57"/>
      <c r="BW79" s="35"/>
      <c r="BX79" s="35"/>
      <c r="BY79" s="35"/>
      <c r="BZ79" s="35"/>
      <c r="CA79" s="60">
        <f t="shared" si="46"/>
        <v>0</v>
      </c>
      <c r="CB79" s="60">
        <f t="shared" si="46"/>
        <v>0</v>
      </c>
      <c r="CC79" s="78"/>
      <c r="CD79" s="60">
        <f t="shared" si="47"/>
        <v>0</v>
      </c>
      <c r="CE79" s="60">
        <f t="shared" si="48"/>
        <v>0</v>
      </c>
      <c r="CF79" s="134">
        <f>CD79*AB88/AE88</f>
        <v>0</v>
      </c>
      <c r="CG79" s="134">
        <f>CE79*AB88/AE88</f>
        <v>0</v>
      </c>
      <c r="CJ79" s="56"/>
      <c r="CK79" s="57"/>
      <c r="CL79" s="35"/>
      <c r="CM79" s="35"/>
      <c r="CN79" s="35"/>
      <c r="CO79" s="35"/>
      <c r="CP79" s="60">
        <f t="shared" si="49"/>
        <v>0</v>
      </c>
      <c r="CQ79" s="60">
        <f t="shared" si="49"/>
        <v>0</v>
      </c>
      <c r="CR79" s="78"/>
      <c r="CS79" s="60">
        <f t="shared" si="50"/>
        <v>0</v>
      </c>
      <c r="CT79" s="60">
        <f t="shared" si="51"/>
        <v>0</v>
      </c>
      <c r="CU79" s="134">
        <f>CS79*AB88/AE88</f>
        <v>0</v>
      </c>
      <c r="CV79" s="61">
        <f>CT79*AB88/AE88</f>
        <v>0</v>
      </c>
    </row>
    <row r="80" spans="12:100" ht="15.75" thickBot="1" x14ac:dyDescent="0.3">
      <c r="W80" s="171" t="s">
        <v>21</v>
      </c>
      <c r="X80" s="171"/>
      <c r="Y80" s="171"/>
      <c r="Z80" s="171"/>
      <c r="AA80" s="171"/>
      <c r="AB80" s="171"/>
      <c r="AC80" s="90"/>
      <c r="AD80" s="90">
        <f>SUM(AD45:AD48)</f>
        <v>0</v>
      </c>
      <c r="AE80" s="162"/>
      <c r="AF80" s="90">
        <f>SUM(AF45:AF79)</f>
        <v>1310.46012</v>
      </c>
      <c r="AG80" s="90">
        <f>SUM(AG45:AG79)</f>
        <v>0</v>
      </c>
      <c r="AH80" s="120">
        <f>SUM(AH45:AH79)</f>
        <v>1.8959203124999998E-3</v>
      </c>
      <c r="AI80" s="120">
        <f>SUM(AI45:AI79)</f>
        <v>0</v>
      </c>
      <c r="AJ80" s="5"/>
      <c r="AK80" s="5"/>
      <c r="AL80" s="171" t="s">
        <v>21</v>
      </c>
      <c r="AM80" s="171"/>
      <c r="AN80" s="171"/>
      <c r="AO80" s="171"/>
      <c r="AP80" s="171"/>
      <c r="AQ80" s="171"/>
      <c r="AR80" s="90"/>
      <c r="AS80" s="90"/>
      <c r="AT80" s="162"/>
      <c r="AU80" s="90">
        <f>SUM(AU45:AU79)</f>
        <v>0</v>
      </c>
      <c r="AV80" s="90">
        <f>SUM(AV45:AV79)</f>
        <v>0</v>
      </c>
      <c r="AW80" s="120">
        <f>SUM(AW45:AW79)</f>
        <v>0</v>
      </c>
      <c r="AX80" s="120">
        <f>SUM(AX45:AX79)</f>
        <v>0</v>
      </c>
      <c r="AY80" s="5"/>
      <c r="AZ80" s="5"/>
      <c r="BA80" s="40"/>
      <c r="BB80" s="41"/>
      <c r="BC80" s="42"/>
      <c r="BD80" s="35"/>
      <c r="BE80" s="43">
        <f t="shared" si="44"/>
        <v>0</v>
      </c>
      <c r="BF80" s="35"/>
      <c r="BG80" s="44">
        <f t="shared" si="45"/>
        <v>0</v>
      </c>
      <c r="BU80" s="56"/>
      <c r="BV80" s="57"/>
      <c r="BW80" s="35"/>
      <c r="BX80" s="35"/>
      <c r="BY80" s="35"/>
      <c r="BZ80" s="35"/>
      <c r="CA80" s="60">
        <f t="shared" si="46"/>
        <v>0</v>
      </c>
      <c r="CB80" s="60">
        <f t="shared" si="46"/>
        <v>0</v>
      </c>
      <c r="CC80" s="78"/>
      <c r="CD80" s="60">
        <f t="shared" si="47"/>
        <v>0</v>
      </c>
      <c r="CE80" s="60">
        <f t="shared" si="48"/>
        <v>0</v>
      </c>
      <c r="CF80" s="134">
        <f>CD80*AB88/AE88</f>
        <v>0</v>
      </c>
      <c r="CG80" s="134">
        <f>CE80*AB88/AE88</f>
        <v>0</v>
      </c>
      <c r="CJ80" s="56"/>
      <c r="CK80" s="57"/>
      <c r="CL80" s="35"/>
      <c r="CM80" s="35"/>
      <c r="CN80" s="35"/>
      <c r="CO80" s="35"/>
      <c r="CP80" s="60">
        <f t="shared" si="49"/>
        <v>0</v>
      </c>
      <c r="CQ80" s="60">
        <f t="shared" si="49"/>
        <v>0</v>
      </c>
      <c r="CR80" s="78"/>
      <c r="CS80" s="60">
        <f t="shared" si="50"/>
        <v>0</v>
      </c>
      <c r="CT80" s="60">
        <f t="shared" si="51"/>
        <v>0</v>
      </c>
      <c r="CU80" s="134">
        <f>CS80*AB88/AE88</f>
        <v>0</v>
      </c>
      <c r="CV80" s="61">
        <f>CT80*AB88/AE88</f>
        <v>0</v>
      </c>
    </row>
    <row r="81" spans="12:100" ht="15" x14ac:dyDescent="0.25">
      <c r="L81" s="172" t="s">
        <v>140</v>
      </c>
      <c r="M81" s="172"/>
      <c r="N81" s="172"/>
      <c r="O81" s="172"/>
      <c r="P81" s="172"/>
      <c r="Q81" s="172"/>
      <c r="R81" s="172"/>
      <c r="S81" s="172"/>
      <c r="T81" s="172"/>
      <c r="W81" s="8"/>
      <c r="X81" s="5"/>
      <c r="Y81" s="5"/>
      <c r="Z81" s="9"/>
      <c r="AA81" s="9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40"/>
      <c r="BB81" s="41"/>
      <c r="BC81" s="42"/>
      <c r="BD81" s="35"/>
      <c r="BE81" s="43">
        <f t="shared" si="44"/>
        <v>0</v>
      </c>
      <c r="BF81" s="35"/>
      <c r="BG81" s="44">
        <f t="shared" si="45"/>
        <v>0</v>
      </c>
      <c r="BU81" s="56"/>
      <c r="BV81" s="57"/>
      <c r="BW81" s="35"/>
      <c r="BX81" s="35"/>
      <c r="BY81" s="35"/>
      <c r="BZ81" s="35"/>
      <c r="CA81" s="60">
        <f t="shared" si="46"/>
        <v>0</v>
      </c>
      <c r="CB81" s="60">
        <f t="shared" si="46"/>
        <v>0</v>
      </c>
      <c r="CC81" s="78"/>
      <c r="CD81" s="60">
        <f t="shared" si="47"/>
        <v>0</v>
      </c>
      <c r="CE81" s="60">
        <f t="shared" si="48"/>
        <v>0</v>
      </c>
      <c r="CF81" s="134">
        <f>CD81*AB88/AE88</f>
        <v>0</v>
      </c>
      <c r="CG81" s="134">
        <f>CE81*AB88/AE88</f>
        <v>0</v>
      </c>
      <c r="CJ81" s="56"/>
      <c r="CK81" s="57"/>
      <c r="CL81" s="35"/>
      <c r="CM81" s="35"/>
      <c r="CN81" s="35"/>
      <c r="CO81" s="35"/>
      <c r="CP81" s="60">
        <f t="shared" si="49"/>
        <v>0</v>
      </c>
      <c r="CQ81" s="60">
        <f t="shared" si="49"/>
        <v>0</v>
      </c>
      <c r="CR81" s="78"/>
      <c r="CS81" s="60">
        <f t="shared" si="50"/>
        <v>0</v>
      </c>
      <c r="CT81" s="60">
        <f t="shared" si="51"/>
        <v>0</v>
      </c>
      <c r="CU81" s="134">
        <f>CS81*AB88/AE88</f>
        <v>0</v>
      </c>
      <c r="CV81" s="61">
        <f>CT81*AB88/AE88</f>
        <v>0</v>
      </c>
    </row>
    <row r="82" spans="12:100" ht="15.75" thickBot="1" x14ac:dyDescent="0.3">
      <c r="L82" s="5"/>
      <c r="M82" s="5"/>
      <c r="N82" s="5"/>
      <c r="O82" s="5"/>
      <c r="P82" s="5"/>
      <c r="Q82" s="5"/>
      <c r="R82" s="5"/>
      <c r="S82" s="5"/>
      <c r="T82" s="5"/>
      <c r="W82" s="8"/>
      <c r="X82" s="5"/>
      <c r="Y82" s="5"/>
      <c r="Z82" s="9"/>
      <c r="AA82" s="9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173" t="s">
        <v>103</v>
      </c>
      <c r="BB82" s="173"/>
      <c r="BC82" s="173"/>
      <c r="BD82" s="116"/>
      <c r="BE82" s="163"/>
      <c r="BF82" s="116"/>
      <c r="BG82" s="117">
        <f>SUM(BG44:BG81)</f>
        <v>0</v>
      </c>
      <c r="BU82" s="56"/>
      <c r="BV82" s="57"/>
      <c r="BW82" s="35"/>
      <c r="BX82" s="35"/>
      <c r="BY82" s="35"/>
      <c r="BZ82" s="35"/>
      <c r="CA82" s="60">
        <f t="shared" si="46"/>
        <v>0</v>
      </c>
      <c r="CB82" s="60">
        <f t="shared" si="46"/>
        <v>0</v>
      </c>
      <c r="CC82" s="78"/>
      <c r="CD82" s="60">
        <f t="shared" si="47"/>
        <v>0</v>
      </c>
      <c r="CE82" s="60">
        <f t="shared" si="48"/>
        <v>0</v>
      </c>
      <c r="CF82" s="134">
        <f>CD82*AB88/AE88</f>
        <v>0</v>
      </c>
      <c r="CG82" s="134">
        <f>CE82*AB88/AE88</f>
        <v>0</v>
      </c>
      <c r="CJ82" s="56"/>
      <c r="CK82" s="57"/>
      <c r="CL82" s="35"/>
      <c r="CM82" s="35"/>
      <c r="CN82" s="35"/>
      <c r="CO82" s="35"/>
      <c r="CP82" s="60">
        <f t="shared" si="49"/>
        <v>0</v>
      </c>
      <c r="CQ82" s="60">
        <f t="shared" si="49"/>
        <v>0</v>
      </c>
      <c r="CR82" s="78"/>
      <c r="CS82" s="60">
        <f t="shared" si="50"/>
        <v>0</v>
      </c>
      <c r="CT82" s="60">
        <f t="shared" si="51"/>
        <v>0</v>
      </c>
      <c r="CU82" s="134">
        <f>CS82*AB88/AE88</f>
        <v>0</v>
      </c>
      <c r="CV82" s="61">
        <f>CT82*AB88/AE88</f>
        <v>0</v>
      </c>
    </row>
    <row r="83" spans="12:100" ht="15.75" thickBot="1" x14ac:dyDescent="0.3">
      <c r="L83" s="174" t="s">
        <v>38</v>
      </c>
      <c r="M83" s="175" t="s">
        <v>16</v>
      </c>
      <c r="N83" s="176" t="s">
        <v>17</v>
      </c>
      <c r="O83" s="164" t="s">
        <v>18</v>
      </c>
      <c r="P83" s="177" t="s">
        <v>19</v>
      </c>
      <c r="Q83" s="177"/>
      <c r="R83" s="175" t="s">
        <v>20</v>
      </c>
      <c r="S83" s="175"/>
      <c r="T83" s="178" t="s">
        <v>21</v>
      </c>
      <c r="W83" s="8"/>
      <c r="X83" s="5"/>
      <c r="Y83" s="5"/>
      <c r="Z83" s="9"/>
      <c r="AA83" s="9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/>
      <c r="BB83"/>
      <c r="BC83"/>
      <c r="BD83"/>
      <c r="BE83"/>
      <c r="BF83"/>
      <c r="BG83"/>
      <c r="BU83" s="56"/>
      <c r="BV83" s="57"/>
      <c r="BW83" s="35"/>
      <c r="BX83" s="35"/>
      <c r="BY83" s="35"/>
      <c r="BZ83" s="35"/>
      <c r="CA83" s="60">
        <f t="shared" si="46"/>
        <v>0</v>
      </c>
      <c r="CB83" s="60">
        <f t="shared" si="46"/>
        <v>0</v>
      </c>
      <c r="CC83" s="78"/>
      <c r="CD83" s="60">
        <f t="shared" si="47"/>
        <v>0</v>
      </c>
      <c r="CE83" s="60">
        <f t="shared" si="48"/>
        <v>0</v>
      </c>
      <c r="CF83" s="134">
        <f>CD83*AB88/AE88</f>
        <v>0</v>
      </c>
      <c r="CG83" s="134">
        <f>CE83*AB88/AE88</f>
        <v>0</v>
      </c>
      <c r="CJ83" s="56"/>
      <c r="CK83" s="57"/>
      <c r="CL83" s="35"/>
      <c r="CM83" s="35"/>
      <c r="CN83" s="35"/>
      <c r="CO83" s="35"/>
      <c r="CP83" s="60">
        <f t="shared" si="49"/>
        <v>0</v>
      </c>
      <c r="CQ83" s="60">
        <f t="shared" si="49"/>
        <v>0</v>
      </c>
      <c r="CR83" s="78"/>
      <c r="CS83" s="60">
        <f t="shared" si="50"/>
        <v>0</v>
      </c>
      <c r="CT83" s="60">
        <f t="shared" si="51"/>
        <v>0</v>
      </c>
      <c r="CU83" s="134">
        <f>CS83*AB88/AE88</f>
        <v>0</v>
      </c>
      <c r="CV83" s="61">
        <f>CT83*AB88/AE88</f>
        <v>0</v>
      </c>
    </row>
    <row r="84" spans="12:100" ht="15" x14ac:dyDescent="0.25">
      <c r="L84" s="174"/>
      <c r="M84" s="175"/>
      <c r="N84" s="176"/>
      <c r="O84" s="165" t="s">
        <v>43</v>
      </c>
      <c r="P84" s="166" t="s">
        <v>44</v>
      </c>
      <c r="Q84" s="31" t="s">
        <v>45</v>
      </c>
      <c r="R84" s="31" t="s">
        <v>44</v>
      </c>
      <c r="S84" s="31" t="s">
        <v>45</v>
      </c>
      <c r="T84" s="178"/>
      <c r="W84" s="8"/>
      <c r="X84" s="5"/>
      <c r="Y84" s="5"/>
      <c r="Z84" s="9"/>
      <c r="AA84" s="9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/>
      <c r="BB84"/>
      <c r="BC84"/>
      <c r="BD84"/>
      <c r="BE84"/>
      <c r="BF84"/>
      <c r="BG84"/>
      <c r="BU84" s="56"/>
      <c r="BV84" s="57"/>
      <c r="BW84" s="35"/>
      <c r="BX84" s="35"/>
      <c r="BY84" s="35"/>
      <c r="BZ84" s="35"/>
      <c r="CA84" s="60">
        <f t="shared" si="46"/>
        <v>0</v>
      </c>
      <c r="CB84" s="60">
        <f t="shared" si="46"/>
        <v>0</v>
      </c>
      <c r="CC84" s="78"/>
      <c r="CD84" s="60">
        <f t="shared" si="47"/>
        <v>0</v>
      </c>
      <c r="CE84" s="60">
        <f t="shared" si="48"/>
        <v>0</v>
      </c>
      <c r="CF84" s="134">
        <f>CD84*AB88/AE88</f>
        <v>0</v>
      </c>
      <c r="CG84" s="134">
        <f>CE84*AB88/AE88</f>
        <v>0</v>
      </c>
      <c r="CJ84" s="56"/>
      <c r="CK84" s="57"/>
      <c r="CL84" s="35"/>
      <c r="CM84" s="35"/>
      <c r="CN84" s="35"/>
      <c r="CO84" s="35"/>
      <c r="CP84" s="60">
        <f t="shared" si="49"/>
        <v>0</v>
      </c>
      <c r="CQ84" s="60">
        <f t="shared" si="49"/>
        <v>0</v>
      </c>
      <c r="CR84" s="78"/>
      <c r="CS84" s="60">
        <f t="shared" si="50"/>
        <v>0</v>
      </c>
      <c r="CT84" s="60">
        <f t="shared" si="51"/>
        <v>0</v>
      </c>
      <c r="CU84" s="134">
        <f>CS84*AB88/AE88</f>
        <v>0</v>
      </c>
      <c r="CV84" s="61">
        <f>CT84*AB88/AE88</f>
        <v>0</v>
      </c>
    </row>
    <row r="85" spans="12:100" ht="14.25" x14ac:dyDescent="0.2">
      <c r="L85" s="40"/>
      <c r="M85" s="49"/>
      <c r="N85" s="42"/>
      <c r="O85" s="167"/>
      <c r="P85" s="35"/>
      <c r="Q85" s="35"/>
      <c r="R85" s="50"/>
      <c r="S85" s="50">
        <f>O85*Q85</f>
        <v>0</v>
      </c>
      <c r="T85" s="51">
        <f>R85+S85</f>
        <v>0</v>
      </c>
      <c r="W85" s="8"/>
      <c r="X85" s="5"/>
      <c r="Y85" s="5"/>
      <c r="Z85" s="9"/>
      <c r="AA85" s="9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U85" s="56"/>
      <c r="BV85" s="57"/>
      <c r="BW85" s="35"/>
      <c r="BX85" s="35"/>
      <c r="BY85" s="35"/>
      <c r="BZ85" s="35"/>
      <c r="CA85" s="60">
        <f t="shared" si="46"/>
        <v>0</v>
      </c>
      <c r="CB85" s="60">
        <f t="shared" si="46"/>
        <v>0</v>
      </c>
      <c r="CC85" s="78"/>
      <c r="CD85" s="60">
        <f t="shared" si="47"/>
        <v>0</v>
      </c>
      <c r="CE85" s="60">
        <f t="shared" si="48"/>
        <v>0</v>
      </c>
      <c r="CF85" s="134">
        <f>CD85*AB88/AE88</f>
        <v>0</v>
      </c>
      <c r="CG85" s="134">
        <f>CE85*AB88/AE88</f>
        <v>0</v>
      </c>
      <c r="CJ85" s="56"/>
      <c r="CK85" s="57"/>
      <c r="CL85" s="35"/>
      <c r="CM85" s="35"/>
      <c r="CN85" s="35"/>
      <c r="CO85" s="35"/>
      <c r="CP85" s="60">
        <f t="shared" si="49"/>
        <v>0</v>
      </c>
      <c r="CQ85" s="60">
        <f t="shared" si="49"/>
        <v>0</v>
      </c>
      <c r="CR85" s="78"/>
      <c r="CS85" s="60">
        <f t="shared" si="50"/>
        <v>0</v>
      </c>
      <c r="CT85" s="60">
        <f t="shared" si="51"/>
        <v>0</v>
      </c>
      <c r="CU85" s="134">
        <f>CS85*AB88/AE88</f>
        <v>0</v>
      </c>
      <c r="CV85" s="61">
        <f>CT85*AB88/AE88</f>
        <v>0</v>
      </c>
    </row>
    <row r="86" spans="12:100" ht="14.25" x14ac:dyDescent="0.2">
      <c r="L86" s="40"/>
      <c r="M86" s="49"/>
      <c r="N86" s="42"/>
      <c r="O86" s="42"/>
      <c r="P86" s="35"/>
      <c r="Q86" s="35"/>
      <c r="R86" s="50">
        <f>O86*P86</f>
        <v>0</v>
      </c>
      <c r="S86" s="50">
        <f>O86*Q86</f>
        <v>0</v>
      </c>
      <c r="T86" s="51">
        <f>R86+S86</f>
        <v>0</v>
      </c>
      <c r="W86" s="8"/>
      <c r="X86" s="5"/>
      <c r="Y86" s="5"/>
      <c r="Z86" s="9"/>
      <c r="AA86" s="9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U86" s="56"/>
      <c r="BV86" s="159"/>
      <c r="BW86" s="160"/>
      <c r="BX86" s="35"/>
      <c r="BY86" s="35"/>
      <c r="BZ86" s="35"/>
      <c r="CA86" s="60">
        <f t="shared" si="46"/>
        <v>0</v>
      </c>
      <c r="CB86" s="60">
        <f t="shared" si="46"/>
        <v>0</v>
      </c>
      <c r="CC86" s="78"/>
      <c r="CD86" s="60">
        <f t="shared" si="47"/>
        <v>0</v>
      </c>
      <c r="CE86" s="60">
        <f t="shared" si="48"/>
        <v>0</v>
      </c>
      <c r="CF86" s="134">
        <f>CD86*AB88/AE88</f>
        <v>0</v>
      </c>
      <c r="CG86" s="134">
        <f>CE86*AB88/AE88</f>
        <v>0</v>
      </c>
      <c r="CJ86" s="56"/>
      <c r="CK86" s="57"/>
      <c r="CL86" s="35"/>
      <c r="CM86" s="35"/>
      <c r="CN86" s="35"/>
      <c r="CO86" s="35"/>
      <c r="CP86" s="60">
        <f t="shared" si="49"/>
        <v>0</v>
      </c>
      <c r="CQ86" s="60">
        <f t="shared" si="49"/>
        <v>0</v>
      </c>
      <c r="CR86" s="78"/>
      <c r="CS86" s="60">
        <f t="shared" si="50"/>
        <v>0</v>
      </c>
      <c r="CT86" s="60">
        <f t="shared" si="51"/>
        <v>0</v>
      </c>
      <c r="CU86" s="134">
        <f>CS86*AB88/AE88</f>
        <v>0</v>
      </c>
      <c r="CV86" s="61">
        <f>CT86*AB88/AE88</f>
        <v>0</v>
      </c>
    </row>
    <row r="87" spans="12:100" ht="14.25" x14ac:dyDescent="0.2">
      <c r="L87" s="40"/>
      <c r="M87" s="49"/>
      <c r="N87" s="42"/>
      <c r="O87" s="42"/>
      <c r="P87" s="35"/>
      <c r="Q87" s="35"/>
      <c r="R87" s="50">
        <f>O87*P87</f>
        <v>0</v>
      </c>
      <c r="S87" s="50">
        <f>O87*Q87</f>
        <v>0</v>
      </c>
      <c r="T87" s="51">
        <f>R87+S87</f>
        <v>0</v>
      </c>
      <c r="W87" s="8"/>
      <c r="X87" s="5"/>
      <c r="Y87" s="5"/>
      <c r="Z87" s="9"/>
      <c r="AA87" s="9"/>
      <c r="AB87" s="169" t="s">
        <v>141</v>
      </c>
      <c r="AC87" s="169"/>
      <c r="AD87" s="5"/>
      <c r="AE87" s="169" t="s">
        <v>142</v>
      </c>
      <c r="AF87" s="169"/>
      <c r="AG87" s="169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U87" s="56"/>
      <c r="BV87" s="159"/>
      <c r="BW87" s="160"/>
      <c r="BX87" s="35"/>
      <c r="BY87" s="35"/>
      <c r="BZ87" s="35"/>
      <c r="CA87" s="60">
        <f t="shared" si="46"/>
        <v>0</v>
      </c>
      <c r="CB87" s="60">
        <f t="shared" si="46"/>
        <v>0</v>
      </c>
      <c r="CC87" s="78"/>
      <c r="CD87" s="60">
        <f t="shared" si="47"/>
        <v>0</v>
      </c>
      <c r="CE87" s="60">
        <f t="shared" si="48"/>
        <v>0</v>
      </c>
      <c r="CF87" s="134">
        <f>CD87*AB88/AE88</f>
        <v>0</v>
      </c>
      <c r="CG87" s="134">
        <f>CE87*AB88/AE88</f>
        <v>0</v>
      </c>
      <c r="CJ87" s="56"/>
      <c r="CK87" s="159"/>
      <c r="CL87" s="160"/>
      <c r="CM87" s="35"/>
      <c r="CN87" s="35"/>
      <c r="CO87" s="35"/>
      <c r="CP87" s="60">
        <f t="shared" si="49"/>
        <v>0</v>
      </c>
      <c r="CQ87" s="60">
        <f t="shared" si="49"/>
        <v>0</v>
      </c>
      <c r="CR87" s="78"/>
      <c r="CS87" s="60">
        <f t="shared" si="50"/>
        <v>0</v>
      </c>
      <c r="CT87" s="60">
        <f t="shared" si="51"/>
        <v>0</v>
      </c>
      <c r="CU87" s="134">
        <f>CS87*AB88/AE88</f>
        <v>0</v>
      </c>
      <c r="CV87" s="61">
        <f>CT87*AB88/AE88</f>
        <v>0</v>
      </c>
    </row>
    <row r="88" spans="12:100" ht="26.25" customHeight="1" x14ac:dyDescent="0.2">
      <c r="L88" s="40"/>
      <c r="M88" s="49"/>
      <c r="N88" s="42"/>
      <c r="O88" s="42"/>
      <c r="P88" s="35"/>
      <c r="Q88" s="35"/>
      <c r="R88" s="50"/>
      <c r="S88" s="50"/>
      <c r="T88" s="51"/>
      <c r="W88" s="8"/>
      <c r="X88" s="5"/>
      <c r="Y88" s="5"/>
      <c r="Z88" s="9"/>
      <c r="AA88" s="9"/>
      <c r="AB88" s="170">
        <v>2</v>
      </c>
      <c r="AC88" s="170"/>
      <c r="AD88" s="5"/>
      <c r="AE88" s="170">
        <v>1382400</v>
      </c>
      <c r="AF88" s="170"/>
      <c r="AG88" s="170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U88" s="56"/>
      <c r="BV88" s="159"/>
      <c r="BW88" s="160"/>
      <c r="BX88" s="35"/>
      <c r="BY88" s="35"/>
      <c r="BZ88" s="35"/>
      <c r="CA88" s="60">
        <f t="shared" si="46"/>
        <v>0</v>
      </c>
      <c r="CB88" s="60">
        <f t="shared" si="46"/>
        <v>0</v>
      </c>
      <c r="CC88" s="78"/>
      <c r="CD88" s="60">
        <f t="shared" si="47"/>
        <v>0</v>
      </c>
      <c r="CE88" s="60">
        <f t="shared" si="48"/>
        <v>0</v>
      </c>
      <c r="CF88" s="134">
        <f>CD88*AB88/AE88</f>
        <v>0</v>
      </c>
      <c r="CG88" s="134">
        <f>CE88*AB88/AE88</f>
        <v>0</v>
      </c>
      <c r="CJ88" s="56"/>
      <c r="CK88" s="159"/>
      <c r="CL88" s="160"/>
      <c r="CM88" s="35"/>
      <c r="CN88" s="35"/>
      <c r="CO88" s="35"/>
      <c r="CP88" s="60">
        <f t="shared" si="49"/>
        <v>0</v>
      </c>
      <c r="CQ88" s="60">
        <f t="shared" si="49"/>
        <v>0</v>
      </c>
      <c r="CR88" s="78"/>
      <c r="CS88" s="60">
        <f t="shared" si="50"/>
        <v>0</v>
      </c>
      <c r="CT88" s="60">
        <f t="shared" si="51"/>
        <v>0</v>
      </c>
      <c r="CU88" s="134">
        <f>CS88*AB88/AE88</f>
        <v>0</v>
      </c>
      <c r="CV88" s="61">
        <f>CT88*AB88/AE88</f>
        <v>0</v>
      </c>
    </row>
    <row r="89" spans="12:100" ht="14.25" x14ac:dyDescent="0.2">
      <c r="L89" s="40"/>
      <c r="M89" s="49"/>
      <c r="N89" s="42"/>
      <c r="O89" s="42"/>
      <c r="P89" s="35"/>
      <c r="Q89" s="35"/>
      <c r="R89" s="50">
        <f t="shared" ref="R89:R98" si="52">O89*P89</f>
        <v>0</v>
      </c>
      <c r="S89" s="50">
        <f t="shared" ref="S89:S98" si="53">O89*Q89</f>
        <v>0</v>
      </c>
      <c r="T89" s="51">
        <f t="shared" ref="T89:T98" si="54">R89+S89</f>
        <v>0</v>
      </c>
      <c r="W89" s="8"/>
      <c r="X89" s="5"/>
      <c r="Y89" s="5"/>
      <c r="Z89" s="9"/>
      <c r="AA89" s="9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U89" s="56"/>
      <c r="BV89" s="133"/>
      <c r="BW89" s="35"/>
      <c r="BX89" s="35"/>
      <c r="BY89" s="35"/>
      <c r="BZ89" s="35"/>
      <c r="CA89" s="60">
        <f t="shared" si="46"/>
        <v>0</v>
      </c>
      <c r="CB89" s="60">
        <f t="shared" si="46"/>
        <v>0</v>
      </c>
      <c r="CC89" s="78"/>
      <c r="CD89" s="60">
        <f t="shared" si="47"/>
        <v>0</v>
      </c>
      <c r="CE89" s="60">
        <f t="shared" si="48"/>
        <v>0</v>
      </c>
      <c r="CF89" s="134">
        <f>CD89*AB88/AE88</f>
        <v>0</v>
      </c>
      <c r="CG89" s="134">
        <f>CE89*AB88/AE88</f>
        <v>0</v>
      </c>
      <c r="CJ89" s="56"/>
      <c r="CK89" s="159"/>
      <c r="CL89" s="160"/>
      <c r="CM89" s="35"/>
      <c r="CN89" s="35"/>
      <c r="CO89" s="35"/>
      <c r="CP89" s="60">
        <f t="shared" si="49"/>
        <v>0</v>
      </c>
      <c r="CQ89" s="60">
        <f t="shared" si="49"/>
        <v>0</v>
      </c>
      <c r="CR89" s="78"/>
      <c r="CS89" s="60">
        <f t="shared" si="50"/>
        <v>0</v>
      </c>
      <c r="CT89" s="60">
        <f t="shared" si="51"/>
        <v>0</v>
      </c>
      <c r="CU89" s="134">
        <f>CS89*AB88/AE88</f>
        <v>0</v>
      </c>
      <c r="CV89" s="61">
        <f>CT89*AB88/AE88</f>
        <v>0</v>
      </c>
    </row>
    <row r="90" spans="12:100" ht="14.25" x14ac:dyDescent="0.2">
      <c r="L90" s="40"/>
      <c r="M90" s="49"/>
      <c r="N90" s="42"/>
      <c r="O90" s="42"/>
      <c r="P90" s="35"/>
      <c r="Q90" s="35"/>
      <c r="R90" s="50">
        <f t="shared" si="52"/>
        <v>0</v>
      </c>
      <c r="S90" s="50">
        <f t="shared" si="53"/>
        <v>0</v>
      </c>
      <c r="T90" s="51">
        <f t="shared" si="54"/>
        <v>0</v>
      </c>
      <c r="W90" s="8"/>
      <c r="X90" s="5"/>
      <c r="Y90" s="5"/>
      <c r="Z90" s="9"/>
      <c r="AA90" s="9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U90" s="56"/>
      <c r="BV90" s="133"/>
      <c r="BW90" s="35"/>
      <c r="BX90" s="35"/>
      <c r="BY90" s="35"/>
      <c r="BZ90" s="35"/>
      <c r="CA90" s="60">
        <f t="shared" si="46"/>
        <v>0</v>
      </c>
      <c r="CB90" s="60">
        <f t="shared" si="46"/>
        <v>0</v>
      </c>
      <c r="CC90" s="78"/>
      <c r="CD90" s="60">
        <f t="shared" si="47"/>
        <v>0</v>
      </c>
      <c r="CE90" s="60">
        <f t="shared" si="48"/>
        <v>0</v>
      </c>
      <c r="CF90" s="134">
        <f>CD90*AB88/AE88</f>
        <v>0</v>
      </c>
      <c r="CG90" s="134">
        <f>CE90*AB88/AE88</f>
        <v>0</v>
      </c>
      <c r="CJ90" s="56"/>
      <c r="CK90" s="133"/>
      <c r="CL90" s="35"/>
      <c r="CM90" s="35"/>
      <c r="CN90" s="35"/>
      <c r="CO90" s="35"/>
      <c r="CP90" s="60">
        <f t="shared" si="49"/>
        <v>0</v>
      </c>
      <c r="CQ90" s="60">
        <f t="shared" si="49"/>
        <v>0</v>
      </c>
      <c r="CR90" s="78"/>
      <c r="CS90" s="60">
        <f t="shared" si="50"/>
        <v>0</v>
      </c>
      <c r="CT90" s="60">
        <f t="shared" si="51"/>
        <v>0</v>
      </c>
      <c r="CU90" s="134">
        <f>CS90*AB88/AE88</f>
        <v>0</v>
      </c>
      <c r="CV90" s="61">
        <f>CT90*AB88/AE88</f>
        <v>0</v>
      </c>
    </row>
    <row r="91" spans="12:100" ht="14.25" x14ac:dyDescent="0.2">
      <c r="L91" s="40"/>
      <c r="M91" s="49"/>
      <c r="N91" s="42"/>
      <c r="O91" s="42"/>
      <c r="P91" s="35"/>
      <c r="Q91" s="35"/>
      <c r="R91" s="50">
        <f t="shared" si="52"/>
        <v>0</v>
      </c>
      <c r="S91" s="50">
        <f t="shared" si="53"/>
        <v>0</v>
      </c>
      <c r="T91" s="51">
        <f t="shared" si="54"/>
        <v>0</v>
      </c>
      <c r="BU91" s="56"/>
      <c r="BV91" s="57"/>
      <c r="BW91" s="35"/>
      <c r="BX91" s="35"/>
      <c r="BY91" s="35"/>
      <c r="BZ91" s="35"/>
      <c r="CA91" s="60">
        <f t="shared" si="46"/>
        <v>0</v>
      </c>
      <c r="CB91" s="60">
        <f t="shared" si="46"/>
        <v>0</v>
      </c>
      <c r="CC91" s="78"/>
      <c r="CD91" s="60">
        <f t="shared" si="47"/>
        <v>0</v>
      </c>
      <c r="CE91" s="60">
        <f t="shared" si="48"/>
        <v>0</v>
      </c>
      <c r="CF91" s="134">
        <f>CD91*AB88/AE88</f>
        <v>0</v>
      </c>
      <c r="CG91" s="134">
        <f>CE91*AB88/AE88</f>
        <v>0</v>
      </c>
      <c r="CJ91" s="56"/>
      <c r="CK91" s="133"/>
      <c r="CL91" s="35"/>
      <c r="CM91" s="35"/>
      <c r="CN91" s="35"/>
      <c r="CO91" s="35"/>
      <c r="CP91" s="60">
        <f t="shared" si="49"/>
        <v>0</v>
      </c>
      <c r="CQ91" s="60">
        <f t="shared" si="49"/>
        <v>0</v>
      </c>
      <c r="CR91" s="78"/>
      <c r="CS91" s="60">
        <f t="shared" si="50"/>
        <v>0</v>
      </c>
      <c r="CT91" s="60">
        <f t="shared" si="51"/>
        <v>0</v>
      </c>
      <c r="CU91" s="134">
        <f>CS91*AB88/AE88</f>
        <v>0</v>
      </c>
      <c r="CV91" s="61">
        <f>CT91*AB88/AE88</f>
        <v>0</v>
      </c>
    </row>
    <row r="92" spans="12:100" ht="15.75" thickBot="1" x14ac:dyDescent="0.3">
      <c r="L92" s="40"/>
      <c r="M92" s="49"/>
      <c r="N92" s="42"/>
      <c r="O92" s="104"/>
      <c r="P92" s="35"/>
      <c r="Q92" s="35"/>
      <c r="R92" s="50">
        <f t="shared" si="52"/>
        <v>0</v>
      </c>
      <c r="S92" s="50">
        <f t="shared" si="53"/>
        <v>0</v>
      </c>
      <c r="T92" s="51">
        <f t="shared" si="54"/>
        <v>0</v>
      </c>
      <c r="BU92" s="171" t="s">
        <v>21</v>
      </c>
      <c r="BV92" s="171"/>
      <c r="BW92" s="171"/>
      <c r="BX92" s="171"/>
      <c r="BY92" s="171"/>
      <c r="BZ92" s="171"/>
      <c r="CA92" s="90"/>
      <c r="CB92" s="90"/>
      <c r="CC92" s="162"/>
      <c r="CD92" s="90">
        <f>SUM(CD71:CD91)</f>
        <v>0</v>
      </c>
      <c r="CE92" s="90">
        <f>SUM(CE71:CE91)</f>
        <v>0</v>
      </c>
      <c r="CF92" s="120">
        <f>SUM(CF71:CF91)</f>
        <v>0</v>
      </c>
      <c r="CG92" s="120">
        <f>SUM(CG71:CG91)</f>
        <v>0</v>
      </c>
      <c r="CJ92" s="56"/>
      <c r="CK92" s="57"/>
      <c r="CL92" s="35"/>
      <c r="CM92" s="35"/>
      <c r="CN92" s="35"/>
      <c r="CO92" s="35"/>
      <c r="CP92" s="60">
        <f t="shared" si="49"/>
        <v>0</v>
      </c>
      <c r="CQ92" s="60">
        <f t="shared" si="49"/>
        <v>0</v>
      </c>
      <c r="CR92" s="78"/>
      <c r="CS92" s="60">
        <f t="shared" si="50"/>
        <v>0</v>
      </c>
      <c r="CT92" s="60">
        <f t="shared" si="51"/>
        <v>0</v>
      </c>
      <c r="CU92" s="134">
        <f>CS92*AB88/AE88</f>
        <v>0</v>
      </c>
      <c r="CV92" s="61">
        <f>CT92*AB88/AE88</f>
        <v>0</v>
      </c>
    </row>
    <row r="93" spans="12:100" ht="15.75" thickBot="1" x14ac:dyDescent="0.3">
      <c r="L93" s="40"/>
      <c r="M93" s="49"/>
      <c r="N93" s="42"/>
      <c r="O93" s="104"/>
      <c r="P93" s="35"/>
      <c r="Q93" s="35"/>
      <c r="R93" s="50">
        <f t="shared" si="52"/>
        <v>0</v>
      </c>
      <c r="S93" s="50">
        <f t="shared" si="53"/>
        <v>0</v>
      </c>
      <c r="T93" s="51">
        <f t="shared" si="54"/>
        <v>0</v>
      </c>
      <c r="CJ93" s="171" t="s">
        <v>21</v>
      </c>
      <c r="CK93" s="171"/>
      <c r="CL93" s="171"/>
      <c r="CM93" s="171"/>
      <c r="CN93" s="171"/>
      <c r="CO93" s="171"/>
      <c r="CP93" s="90"/>
      <c r="CQ93" s="90"/>
      <c r="CR93" s="162"/>
      <c r="CS93" s="90">
        <f>SUM(CS72:CS92)</f>
        <v>0</v>
      </c>
      <c r="CT93" s="90">
        <f>SUM(CT72:CT92)</f>
        <v>0</v>
      </c>
      <c r="CU93" s="120">
        <f>SUM(CU72:CU92)</f>
        <v>0</v>
      </c>
      <c r="CV93" s="120">
        <f>SUM(CV72:CV92)</f>
        <v>0</v>
      </c>
    </row>
    <row r="94" spans="12:100" ht="14.25" x14ac:dyDescent="0.2">
      <c r="L94" s="40"/>
      <c r="M94" s="49"/>
      <c r="N94" s="42"/>
      <c r="O94" s="104"/>
      <c r="P94" s="35"/>
      <c r="Q94" s="35"/>
      <c r="R94" s="50">
        <f t="shared" si="52"/>
        <v>0</v>
      </c>
      <c r="S94" s="50">
        <f t="shared" si="53"/>
        <v>0</v>
      </c>
      <c r="T94" s="51">
        <f t="shared" si="54"/>
        <v>0</v>
      </c>
    </row>
    <row r="95" spans="12:100" ht="14.25" x14ac:dyDescent="0.2">
      <c r="L95" s="40"/>
      <c r="M95" s="49"/>
      <c r="N95" s="42"/>
      <c r="O95" s="42"/>
      <c r="P95" s="35"/>
      <c r="Q95" s="35"/>
      <c r="R95" s="50">
        <f t="shared" si="52"/>
        <v>0</v>
      </c>
      <c r="S95" s="50">
        <f t="shared" si="53"/>
        <v>0</v>
      </c>
      <c r="T95" s="51">
        <f t="shared" si="54"/>
        <v>0</v>
      </c>
    </row>
    <row r="96" spans="12:100" ht="14.25" x14ac:dyDescent="0.2">
      <c r="L96" s="40"/>
      <c r="M96" s="42"/>
      <c r="N96" s="42"/>
      <c r="O96" s="42"/>
      <c r="P96" s="35"/>
      <c r="Q96" s="35"/>
      <c r="R96" s="50">
        <f t="shared" si="52"/>
        <v>0</v>
      </c>
      <c r="S96" s="50">
        <f t="shared" si="53"/>
        <v>0</v>
      </c>
      <c r="T96" s="51">
        <f t="shared" si="54"/>
        <v>0</v>
      </c>
    </row>
    <row r="97" spans="12:20" ht="14.25" x14ac:dyDescent="0.2">
      <c r="L97" s="40"/>
      <c r="M97" s="42"/>
      <c r="N97" s="42"/>
      <c r="O97" s="42"/>
      <c r="P97" s="35"/>
      <c r="Q97" s="35"/>
      <c r="R97" s="50">
        <f t="shared" si="52"/>
        <v>0</v>
      </c>
      <c r="S97" s="50">
        <f t="shared" si="53"/>
        <v>0</v>
      </c>
      <c r="T97" s="51">
        <f t="shared" si="54"/>
        <v>0</v>
      </c>
    </row>
    <row r="98" spans="12:20" ht="14.25" x14ac:dyDescent="0.2">
      <c r="L98" s="40"/>
      <c r="M98" s="42"/>
      <c r="N98" s="42"/>
      <c r="O98" s="42"/>
      <c r="P98" s="35"/>
      <c r="Q98" s="35"/>
      <c r="R98" s="50">
        <f t="shared" si="52"/>
        <v>0</v>
      </c>
      <c r="S98" s="50">
        <f t="shared" si="53"/>
        <v>0</v>
      </c>
      <c r="T98" s="51">
        <f t="shared" si="54"/>
        <v>0</v>
      </c>
    </row>
    <row r="99" spans="12:20" ht="15.75" thickBot="1" x14ac:dyDescent="0.3">
      <c r="L99" s="122"/>
      <c r="M99" s="168" t="s">
        <v>21</v>
      </c>
      <c r="N99" s="124"/>
      <c r="O99" s="124"/>
      <c r="P99" s="125"/>
      <c r="Q99" s="125"/>
      <c r="R99" s="125">
        <f>SUM(R85:R98)</f>
        <v>0</v>
      </c>
      <c r="S99" s="125">
        <f>SUM(S85:S98)</f>
        <v>0</v>
      </c>
      <c r="T99" s="126">
        <f>SUM(T85:T98)</f>
        <v>0</v>
      </c>
    </row>
  </sheetData>
  <mergeCells count="132">
    <mergeCell ref="B1:F1"/>
    <mergeCell ref="B2:F2"/>
    <mergeCell ref="L2:T2"/>
    <mergeCell ref="W2:AD2"/>
    <mergeCell ref="AL2:AS2"/>
    <mergeCell ref="BA2:BG2"/>
    <mergeCell ref="BJ2:BR2"/>
    <mergeCell ref="CJ2:CR2"/>
    <mergeCell ref="B3:F3"/>
    <mergeCell ref="BU3:CC3"/>
    <mergeCell ref="CJ3:CR3"/>
    <mergeCell ref="C4:D4"/>
    <mergeCell ref="L4:L5"/>
    <mergeCell ref="M4:M5"/>
    <mergeCell ref="N4:N5"/>
    <mergeCell ref="P4:Q4"/>
    <mergeCell ref="BP4:BQ4"/>
    <mergeCell ref="BR4:BR5"/>
    <mergeCell ref="BU4:CC4"/>
    <mergeCell ref="AH5:AI5"/>
    <mergeCell ref="CJ5:CJ6"/>
    <mergeCell ref="CK5:CK6"/>
    <mergeCell ref="CA6:CC6"/>
    <mergeCell ref="R4:S4"/>
    <mergeCell ref="T4:T5"/>
    <mergeCell ref="BJ4:BJ5"/>
    <mergeCell ref="BK4:BK5"/>
    <mergeCell ref="BL4:BL5"/>
    <mergeCell ref="BN4:BO4"/>
    <mergeCell ref="CT6:CU6"/>
    <mergeCell ref="CW6:CX6"/>
    <mergeCell ref="CZ6:DA6"/>
    <mergeCell ref="C7:F7"/>
    <mergeCell ref="B8:F8"/>
    <mergeCell ref="B9:C9"/>
    <mergeCell ref="D9:F9"/>
    <mergeCell ref="CL5:CL6"/>
    <mergeCell ref="CM5:CM6"/>
    <mergeCell ref="CN5:CO5"/>
    <mergeCell ref="CP5:CR5"/>
    <mergeCell ref="C6:F6"/>
    <mergeCell ref="BU6:BU7"/>
    <mergeCell ref="BV6:BV7"/>
    <mergeCell ref="BW6:BW7"/>
    <mergeCell ref="BX6:BX7"/>
    <mergeCell ref="BY6:BZ6"/>
    <mergeCell ref="BA36:BC36"/>
    <mergeCell ref="W37:Z37"/>
    <mergeCell ref="AL37:AO37"/>
    <mergeCell ref="W41:AI41"/>
    <mergeCell ref="AL41:AX41"/>
    <mergeCell ref="BA41:BG41"/>
    <mergeCell ref="B10:C10"/>
    <mergeCell ref="E10:F10"/>
    <mergeCell ref="CJ18:CQ18"/>
    <mergeCell ref="BU19:CB19"/>
    <mergeCell ref="L36:L37"/>
    <mergeCell ref="M36:M37"/>
    <mergeCell ref="N36:N37"/>
    <mergeCell ref="P36:Q36"/>
    <mergeCell ref="R36:S36"/>
    <mergeCell ref="T36:T37"/>
    <mergeCell ref="CJ41:CM41"/>
    <mergeCell ref="BU42:BX42"/>
    <mergeCell ref="Y43:Z43"/>
    <mergeCell ref="AA43:AB43"/>
    <mergeCell ref="AC43:AD43"/>
    <mergeCell ref="AF43:AG43"/>
    <mergeCell ref="AH43:AI43"/>
    <mergeCell ref="AN43:AO43"/>
    <mergeCell ref="AP43:AQ43"/>
    <mergeCell ref="AR43:AS43"/>
    <mergeCell ref="AU43:AV43"/>
    <mergeCell ref="AW43:AX43"/>
    <mergeCell ref="L45:T45"/>
    <mergeCell ref="L47:L48"/>
    <mergeCell ref="M47:M48"/>
    <mergeCell ref="N47:N48"/>
    <mergeCell ref="O47:O48"/>
    <mergeCell ref="P47:Q47"/>
    <mergeCell ref="R47:S47"/>
    <mergeCell ref="T47:T48"/>
    <mergeCell ref="BY50:BZ50"/>
    <mergeCell ref="CA50:CB50"/>
    <mergeCell ref="CC50:CC51"/>
    <mergeCell ref="CJ47:CR47"/>
    <mergeCell ref="BU48:CC48"/>
    <mergeCell ref="CJ49:CJ50"/>
    <mergeCell ref="CK49:CK50"/>
    <mergeCell ref="CL49:CL50"/>
    <mergeCell ref="CM49:CM50"/>
    <mergeCell ref="CN49:CO49"/>
    <mergeCell ref="CP49:CQ49"/>
    <mergeCell ref="CR49:CR50"/>
    <mergeCell ref="BU50:BU51"/>
    <mergeCell ref="B58:D59"/>
    <mergeCell ref="E58:E59"/>
    <mergeCell ref="F58:F59"/>
    <mergeCell ref="B60:D61"/>
    <mergeCell ref="E60:E61"/>
    <mergeCell ref="F60:F61"/>
    <mergeCell ref="BV50:BV51"/>
    <mergeCell ref="BW50:BW51"/>
    <mergeCell ref="BX50:BX51"/>
    <mergeCell ref="CL70:CM70"/>
    <mergeCell ref="CN70:CO70"/>
    <mergeCell ref="CP70:CQ70"/>
    <mergeCell ref="CS70:CT70"/>
    <mergeCell ref="CU70:CV70"/>
    <mergeCell ref="W80:AB80"/>
    <mergeCell ref="AL80:AQ80"/>
    <mergeCell ref="BU67:CG67"/>
    <mergeCell ref="CJ68:CV68"/>
    <mergeCell ref="BW69:BX69"/>
    <mergeCell ref="BY69:BZ69"/>
    <mergeCell ref="CA69:CB69"/>
    <mergeCell ref="CD69:CE69"/>
    <mergeCell ref="CF69:CG69"/>
    <mergeCell ref="AB87:AC87"/>
    <mergeCell ref="AE87:AG87"/>
    <mergeCell ref="AB88:AC88"/>
    <mergeCell ref="AE88:AG88"/>
    <mergeCell ref="BU92:BZ92"/>
    <mergeCell ref="CJ93:CO93"/>
    <mergeCell ref="L81:T81"/>
    <mergeCell ref="BA82:BC82"/>
    <mergeCell ref="L83:L84"/>
    <mergeCell ref="M83:M84"/>
    <mergeCell ref="N83:N84"/>
    <mergeCell ref="P83:Q83"/>
    <mergeCell ref="R83:S83"/>
    <mergeCell ref="T83:T84"/>
  </mergeCells>
  <hyperlinks>
    <hyperlink ref="B14" location="'Ficha de costo 1'!L2" display="  Materia Prima y Materiales Fundamentales" xr:uid="{4E84F25E-A8DE-46BA-82EA-6A0610B6B012}"/>
    <hyperlink ref="B15" location="'Ficha de costo 1'!L79" display="  Combustibles y lubricantes" xr:uid="{A7BE9A4A-6B2D-4436-85FA-9CCDFB0DE415}"/>
    <hyperlink ref="B16" location="'Ficha de costo 1'!L45" display="  Energía Eléctrica" xr:uid="{F0A23D19-A232-4E69-A783-0BC40FBC1135}"/>
    <hyperlink ref="B17" location="'Ficha de costo 1'!M34" display="  Agua" xr:uid="{1FEAE2F3-DF0C-417F-940C-F172AD468387}"/>
    <hyperlink ref="B20" location="'Ficha de costo 1'!W2" display="  Depreciación" xr:uid="{D621BE8B-2816-403F-8FB4-D0BC38122153}"/>
    <hyperlink ref="B21" location="'Ficha de costo 1'!CU4" display="  Ropa y calzado ( trabajadores directos)" xr:uid="{DF9C2AE6-C80E-45EA-AB29-F41696635A1F}"/>
    <hyperlink ref="B23" location="'Ficha de costo 1'!BA2" display="  Salarios" xr:uid="{FA10CA9C-EE28-47E1-A576-9700DE011B51}"/>
    <hyperlink ref="B29" location="'Ficha de costo 1'!BJ2" display="  Materiales auxiliares " xr:uid="{BD279D27-B0C0-48AA-A583-3239AC23219F}"/>
    <hyperlink ref="B31" location="'Ficha de costo 1'!AL2" display="  Depreciación " xr:uid="{82AF2075-3800-4913-B7EB-9B22C92163FA}"/>
    <hyperlink ref="B33" location="'Ficha de costo 1'!BA48" display="  Salarios" xr:uid="{A87858A2-3E3B-4150-B06A-D92FFFED5458}"/>
    <hyperlink ref="B39" location="'Ficha de costo 1'!CJ3" display="  Combustible y lubricantes" xr:uid="{D1EE09D4-E4FA-42D6-9D36-796DDA6AF4C2}"/>
    <hyperlink ref="B40" location="'Ficha de costo 1'!CJ47" display="  Energía eléctrica" xr:uid="{B747067B-970B-4ED9-8D7D-E7C57DDAD8FC}"/>
    <hyperlink ref="B41" location="'Ficha de costo 1'!CJ18" display="  Depreciación" xr:uid="{49FB41DF-1CCF-4DCF-B600-B8A81D671726}"/>
    <hyperlink ref="B42" location="'Ficha de costo 1'!CX4" display="  Ropa y Calzado (trabajadores  indirectos)" xr:uid="{B9C50F6C-63FA-4E18-80BF-5595BD431891}"/>
    <hyperlink ref="B46" location="'Ficha de costo 1'!BU4" display="  Combustible y lubricantes" xr:uid="{8B8A1ECC-ADDC-437A-B6EF-D6A1457C1612}"/>
    <hyperlink ref="B47" location="'Ficha de costo 1'!BU48" display="  Energía eléctrica" xr:uid="{2B786F3E-3C3C-4A5D-8F33-8A9CA030781C}"/>
    <hyperlink ref="B48" location="'Ficha de costo 1'!BU19" display="  Depreciación" xr:uid="{A801E8FE-1CAC-4AFC-AFDA-21E9798A72C0}"/>
    <hyperlink ref="B49" location="'Ficha de costo 1'!DA4" display="  Ropa y Calzado (trabajadores. indirectos)" xr:uid="{7FD73529-6F75-4C35-BA24-AA9B495808EC}"/>
  </hyperlinks>
  <pageMargins left="0.25" right="0.25" top="0.75" bottom="0.75" header="0.3" footer="0.3"/>
  <pageSetup paperSize="9" scale="52" fitToHeight="0" orientation="portrait" r:id="rId1"/>
  <headerFooter>
    <oddHeader>&amp;C&amp;"Times New Roman,Normal"&amp;12&amp;A</oddHeader>
    <oddFooter>&amp;C&amp;"Times New Roman,Normal"&amp;12Página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G99"/>
  <sheetViews>
    <sheetView topLeftCell="A10" zoomScale="70" zoomScaleNormal="70" workbookViewId="0">
      <selection activeCell="D11" sqref="D11"/>
    </sheetView>
  </sheetViews>
  <sheetFormatPr defaultColWidth="11" defaultRowHeight="12.75" zeroHeight="1" x14ac:dyDescent="0.2"/>
  <cols>
    <col min="1" max="1" width="9.5703125" style="1" customWidth="1"/>
    <col min="2" max="2" width="46" style="1" customWidth="1"/>
    <col min="3" max="3" width="7.42578125" style="1" customWidth="1"/>
    <col min="4" max="4" width="28.140625" style="1" customWidth="1"/>
    <col min="5" max="6" width="14.140625" style="1" customWidth="1"/>
    <col min="7" max="11" width="11.42578125" style="1"/>
    <col min="12" max="12" width="9.140625" style="1" customWidth="1"/>
    <col min="13" max="13" width="36.28515625" style="1" customWidth="1"/>
    <col min="14" max="14" width="10.5703125" style="1" customWidth="1"/>
    <col min="15" max="19" width="11.42578125" style="1"/>
    <col min="20" max="20" width="13" style="1" customWidth="1"/>
    <col min="21" max="23" width="11.42578125" style="1"/>
    <col min="24" max="24" width="38.5703125" style="1" customWidth="1"/>
    <col min="25" max="25" width="11.42578125" style="1"/>
    <col min="26" max="26" width="11.5703125" style="1" customWidth="1"/>
    <col min="27" max="28" width="11.42578125" style="1"/>
    <col min="29" max="29" width="13" style="1" customWidth="1"/>
    <col min="30" max="30" width="14.5703125" style="1" customWidth="1"/>
    <col min="31" max="33" width="11.42578125" style="1"/>
    <col min="34" max="35" width="12.42578125" style="1" customWidth="1"/>
    <col min="36" max="38" width="11.42578125" style="1"/>
    <col min="39" max="39" width="39.7109375" style="1" customWidth="1"/>
    <col min="40" max="40" width="12.140625" style="1" customWidth="1"/>
    <col min="41" max="41" width="12.5703125" style="1" customWidth="1"/>
    <col min="42" max="44" width="11.42578125" style="1"/>
    <col min="45" max="45" width="13.42578125" style="1" customWidth="1"/>
    <col min="46" max="48" width="11.42578125" style="1"/>
    <col min="49" max="49" width="12" style="1" customWidth="1"/>
    <col min="50" max="50" width="12.140625" style="1" customWidth="1"/>
    <col min="51" max="52" width="11.42578125" style="1"/>
    <col min="53" max="53" width="33.42578125" style="1" customWidth="1"/>
    <col min="54" max="54" width="14.28515625" style="1" customWidth="1"/>
    <col min="55" max="55" width="18.140625" style="2" customWidth="1"/>
    <col min="56" max="56" width="17.140625" style="1" customWidth="1"/>
    <col min="57" max="57" width="15" style="1" customWidth="1"/>
    <col min="58" max="58" width="18.42578125" style="1" customWidth="1"/>
    <col min="59" max="59" width="18.28515625" style="1" customWidth="1"/>
    <col min="60" max="62" width="11.42578125" style="1"/>
    <col min="63" max="63" width="37.7109375" style="1" customWidth="1"/>
    <col min="64" max="64" width="7.28515625" style="1" customWidth="1"/>
    <col min="65" max="65" width="11.42578125" style="1"/>
    <col min="66" max="69" width="12.28515625" style="1" customWidth="1"/>
    <col min="70" max="70" width="12.85546875" style="1" customWidth="1"/>
    <col min="71" max="72" width="11.42578125" style="1"/>
    <col min="73" max="73" width="11.28515625" style="1" customWidth="1"/>
    <col min="74" max="74" width="41" style="1" customWidth="1"/>
    <col min="75" max="75" width="11.42578125" style="1"/>
    <col min="76" max="76" width="14.28515625" style="1" customWidth="1"/>
    <col min="77" max="77" width="11.42578125" style="1"/>
    <col min="78" max="78" width="12.42578125" style="1" customWidth="1"/>
    <col min="79" max="87" width="11.42578125" style="1"/>
    <col min="88" max="88" width="9.7109375" style="1" customWidth="1"/>
    <col min="89" max="89" width="30.5703125" style="1" customWidth="1"/>
    <col min="90" max="90" width="12.7109375" style="1" customWidth="1"/>
    <col min="91" max="91" width="13.28515625" style="1" customWidth="1"/>
    <col min="92" max="92" width="13.42578125" style="1" customWidth="1"/>
    <col min="93" max="93" width="12.85546875" style="1" customWidth="1"/>
    <col min="94" max="94" width="13.28515625" style="1" customWidth="1"/>
    <col min="95" max="95" width="13.140625" style="1" customWidth="1"/>
    <col min="96" max="96" width="12.85546875" style="1" customWidth="1"/>
    <col min="97" max="97" width="16.85546875" style="1" customWidth="1"/>
    <col min="98" max="98" width="18.85546875" style="1" customWidth="1"/>
    <col min="99" max="99" width="13.85546875" style="1" customWidth="1"/>
    <col min="100" max="100" width="12.85546875" style="1" customWidth="1"/>
    <col min="101" max="101" width="23.140625" style="1" customWidth="1"/>
    <col min="102" max="102" width="13.28515625" style="1" customWidth="1"/>
    <col min="103" max="103" width="11.42578125" style="1"/>
    <col min="104" max="104" width="29" style="1" customWidth="1"/>
    <col min="105" max="111" width="11.42578125" style="1"/>
  </cols>
  <sheetData>
    <row r="1" spans="2:111" ht="15.75" customHeight="1" x14ac:dyDescent="0.2">
      <c r="B1" s="218" t="s">
        <v>0</v>
      </c>
      <c r="C1" s="218"/>
      <c r="D1" s="218"/>
      <c r="E1" s="218"/>
      <c r="F1" s="218"/>
      <c r="CT1" s="1" t="s">
        <v>1</v>
      </c>
    </row>
    <row r="2" spans="2:111" ht="15" customHeight="1" x14ac:dyDescent="0.25">
      <c r="B2" s="219" t="s">
        <v>2</v>
      </c>
      <c r="C2" s="219"/>
      <c r="D2" s="219"/>
      <c r="E2" s="219"/>
      <c r="F2" s="219"/>
      <c r="L2" s="172" t="s">
        <v>3</v>
      </c>
      <c r="M2" s="172"/>
      <c r="N2" s="172"/>
      <c r="O2" s="172"/>
      <c r="P2" s="172"/>
      <c r="Q2" s="172"/>
      <c r="R2" s="172"/>
      <c r="S2" s="172"/>
      <c r="T2" s="172"/>
      <c r="U2" s="5"/>
      <c r="W2" s="206" t="s">
        <v>4</v>
      </c>
      <c r="X2" s="206"/>
      <c r="Y2" s="206"/>
      <c r="Z2" s="206"/>
      <c r="AA2" s="206"/>
      <c r="AB2" s="206"/>
      <c r="AC2" s="206"/>
      <c r="AD2" s="206"/>
      <c r="AE2" s="6"/>
      <c r="AF2" s="6"/>
      <c r="AG2" s="6"/>
      <c r="AH2" s="6"/>
      <c r="AI2" s="6"/>
      <c r="AJ2" s="5"/>
      <c r="AK2" s="5"/>
      <c r="AL2" s="206" t="s">
        <v>5</v>
      </c>
      <c r="AM2" s="206"/>
      <c r="AN2" s="206"/>
      <c r="AO2" s="206"/>
      <c r="AP2" s="206"/>
      <c r="AQ2" s="206"/>
      <c r="AR2" s="206"/>
      <c r="AS2" s="206"/>
      <c r="AT2" s="5"/>
      <c r="AU2" s="5"/>
      <c r="AV2" s="5"/>
      <c r="AW2" s="5"/>
      <c r="AX2" s="5"/>
      <c r="AY2" s="5"/>
      <c r="AZ2" s="5"/>
      <c r="BA2" s="172" t="s">
        <v>6</v>
      </c>
      <c r="BB2" s="172"/>
      <c r="BC2" s="172"/>
      <c r="BD2" s="172"/>
      <c r="BE2" s="172"/>
      <c r="BF2" s="172"/>
      <c r="BG2" s="172"/>
      <c r="BJ2" s="172" t="s">
        <v>7</v>
      </c>
      <c r="BK2" s="172"/>
      <c r="BL2" s="172"/>
      <c r="BM2" s="172"/>
      <c r="BN2" s="172"/>
      <c r="BO2" s="172"/>
      <c r="BP2" s="172"/>
      <c r="BQ2" s="172"/>
      <c r="BR2" s="172"/>
      <c r="CJ2" s="215" t="s">
        <v>8</v>
      </c>
      <c r="CK2" s="215"/>
      <c r="CL2" s="215"/>
      <c r="CM2" s="215"/>
      <c r="CN2" s="215"/>
      <c r="CO2" s="215"/>
      <c r="CP2" s="215"/>
      <c r="CQ2" s="215"/>
      <c r="CR2" s="215"/>
    </row>
    <row r="3" spans="2:111" ht="24" customHeight="1" x14ac:dyDescent="0.25">
      <c r="B3" s="216" t="s">
        <v>9</v>
      </c>
      <c r="C3" s="216"/>
      <c r="D3" s="216"/>
      <c r="E3" s="216"/>
      <c r="F3" s="216"/>
      <c r="L3" s="5"/>
      <c r="M3" s="5" t="s">
        <v>10</v>
      </c>
      <c r="N3" s="5"/>
      <c r="O3" s="5"/>
      <c r="P3" s="5"/>
      <c r="Q3" s="5"/>
      <c r="R3" s="5"/>
      <c r="S3" s="5"/>
      <c r="T3" s="5"/>
      <c r="U3" s="5"/>
      <c r="W3" s="8"/>
      <c r="X3" s="5"/>
      <c r="Y3" s="5"/>
      <c r="Z3" s="9"/>
      <c r="AA3" s="9"/>
      <c r="AB3" s="5"/>
      <c r="AC3" s="5"/>
      <c r="AD3" s="5"/>
      <c r="AE3" s="5"/>
      <c r="AF3" s="5"/>
      <c r="AG3" s="5"/>
      <c r="AH3" s="5"/>
      <c r="AI3" s="5"/>
      <c r="AJ3" s="5"/>
      <c r="AK3" s="5"/>
      <c r="AL3" s="8"/>
      <c r="AM3" s="5"/>
      <c r="AN3" s="5"/>
      <c r="AO3" s="9"/>
      <c r="AP3" s="9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10"/>
      <c r="BD3" s="5"/>
      <c r="BE3" s="5"/>
      <c r="BF3" s="5"/>
      <c r="BG3" s="5"/>
      <c r="BJ3" s="5"/>
      <c r="BK3" s="5"/>
      <c r="BL3" s="5"/>
      <c r="BM3" s="5"/>
      <c r="BN3" s="5"/>
      <c r="BO3" s="5"/>
      <c r="BP3" s="5"/>
      <c r="BQ3" s="5"/>
      <c r="BR3" s="5"/>
      <c r="BU3" s="215" t="s">
        <v>11</v>
      </c>
      <c r="BV3" s="215"/>
      <c r="BW3" s="215"/>
      <c r="BX3" s="215"/>
      <c r="BY3" s="215"/>
      <c r="BZ3" s="215"/>
      <c r="CA3" s="215"/>
      <c r="CB3" s="215"/>
      <c r="CC3" s="215"/>
      <c r="CD3" s="5"/>
      <c r="CE3" s="5"/>
      <c r="CF3" s="5"/>
      <c r="CG3" s="5"/>
      <c r="CH3" s="5"/>
      <c r="CJ3" s="172" t="s">
        <v>12</v>
      </c>
      <c r="CK3" s="172"/>
      <c r="CL3" s="172"/>
      <c r="CM3" s="172"/>
      <c r="CN3" s="172"/>
      <c r="CO3" s="172"/>
      <c r="CP3" s="172"/>
      <c r="CQ3" s="172"/>
      <c r="CR3" s="172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</row>
    <row r="4" spans="2:111" ht="42.75" customHeight="1" x14ac:dyDescent="0.25">
      <c r="B4" s="11" t="s">
        <v>13</v>
      </c>
      <c r="C4" s="217" t="s">
        <v>150</v>
      </c>
      <c r="D4" s="217"/>
      <c r="E4" s="12" t="s">
        <v>14</v>
      </c>
      <c r="F4" s="13"/>
      <c r="L4" s="174" t="s">
        <v>15</v>
      </c>
      <c r="M4" s="175" t="s">
        <v>16</v>
      </c>
      <c r="N4" s="175" t="s">
        <v>17</v>
      </c>
      <c r="O4" s="14" t="s">
        <v>18</v>
      </c>
      <c r="P4" s="175" t="s">
        <v>19</v>
      </c>
      <c r="Q4" s="175"/>
      <c r="R4" s="175" t="s">
        <v>20</v>
      </c>
      <c r="S4" s="175"/>
      <c r="T4" s="178" t="s">
        <v>21</v>
      </c>
      <c r="U4" s="5"/>
      <c r="W4" s="15" t="s">
        <v>22</v>
      </c>
      <c r="X4" s="16" t="s">
        <v>23</v>
      </c>
      <c r="Y4" s="17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8" t="s">
        <v>29</v>
      </c>
      <c r="AE4" s="5"/>
      <c r="AF4" s="19"/>
      <c r="AG4" s="5"/>
      <c r="AH4" s="19"/>
      <c r="AI4" s="5"/>
      <c r="AJ4" s="5"/>
      <c r="AK4" s="5"/>
      <c r="AL4" s="15" t="s">
        <v>22</v>
      </c>
      <c r="AM4" s="16" t="s">
        <v>23</v>
      </c>
      <c r="AN4" s="17" t="s">
        <v>24</v>
      </c>
      <c r="AO4" s="20" t="s">
        <v>30</v>
      </c>
      <c r="AP4" s="16" t="s">
        <v>26</v>
      </c>
      <c r="AQ4" s="16" t="s">
        <v>27</v>
      </c>
      <c r="AR4" s="16" t="s">
        <v>28</v>
      </c>
      <c r="AS4" s="18" t="s">
        <v>29</v>
      </c>
      <c r="AT4" s="5"/>
      <c r="AU4" s="5"/>
      <c r="AV4" s="5"/>
      <c r="AW4" s="5"/>
      <c r="AX4" s="5"/>
      <c r="AY4" s="5"/>
      <c r="AZ4" s="5"/>
      <c r="BA4" s="21" t="s">
        <v>31</v>
      </c>
      <c r="BB4" s="22" t="s">
        <v>32</v>
      </c>
      <c r="BC4" s="23" t="s">
        <v>33</v>
      </c>
      <c r="BD4" s="23" t="s">
        <v>34</v>
      </c>
      <c r="BE4" s="23" t="s">
        <v>35</v>
      </c>
      <c r="BF4" s="23" t="s">
        <v>36</v>
      </c>
      <c r="BG4" s="24" t="s">
        <v>37</v>
      </c>
      <c r="BJ4" s="200" t="s">
        <v>38</v>
      </c>
      <c r="BK4" s="201" t="s">
        <v>16</v>
      </c>
      <c r="BL4" s="201" t="s">
        <v>17</v>
      </c>
      <c r="BM4" s="25" t="s">
        <v>18</v>
      </c>
      <c r="BN4" s="201" t="s">
        <v>19</v>
      </c>
      <c r="BO4" s="201"/>
      <c r="BP4" s="201" t="s">
        <v>20</v>
      </c>
      <c r="BQ4" s="201"/>
      <c r="BR4" s="203" t="s">
        <v>21</v>
      </c>
      <c r="BU4" s="172" t="s">
        <v>12</v>
      </c>
      <c r="BV4" s="172"/>
      <c r="BW4" s="172"/>
      <c r="BX4" s="172"/>
      <c r="BY4" s="172"/>
      <c r="BZ4" s="172"/>
      <c r="CA4" s="172"/>
      <c r="CB4" s="172"/>
      <c r="CC4" s="172"/>
      <c r="CD4" s="5"/>
      <c r="CE4" s="5"/>
      <c r="CF4" s="5"/>
      <c r="CG4" s="5"/>
      <c r="CH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26" t="s">
        <v>39</v>
      </c>
      <c r="CU4" s="27"/>
      <c r="CW4" s="28" t="s">
        <v>40</v>
      </c>
      <c r="CX4" s="27"/>
      <c r="CZ4" s="28" t="s">
        <v>41</v>
      </c>
      <c r="DA4" s="29"/>
      <c r="DB4" s="5"/>
      <c r="DC4" s="5"/>
      <c r="DD4" s="5"/>
      <c r="DE4" s="5"/>
      <c r="DF4" s="5"/>
      <c r="DG4" s="5"/>
    </row>
    <row r="5" spans="2:111" ht="15" customHeight="1" x14ac:dyDescent="0.25">
      <c r="B5" s="11" t="s">
        <v>151</v>
      </c>
      <c r="C5" s="12"/>
      <c r="D5" s="12" t="s">
        <v>42</v>
      </c>
      <c r="E5" s="30"/>
      <c r="F5" s="13"/>
      <c r="L5" s="174"/>
      <c r="M5" s="175"/>
      <c r="N5" s="175"/>
      <c r="O5" s="31" t="s">
        <v>43</v>
      </c>
      <c r="P5" s="31" t="s">
        <v>44</v>
      </c>
      <c r="Q5" s="31" t="s">
        <v>45</v>
      </c>
      <c r="R5" s="31" t="s">
        <v>44</v>
      </c>
      <c r="S5" s="31" t="s">
        <v>45</v>
      </c>
      <c r="T5" s="178"/>
      <c r="U5" s="5"/>
      <c r="W5" s="32"/>
      <c r="X5" s="33"/>
      <c r="Y5" s="34"/>
      <c r="Z5" s="35"/>
      <c r="AA5" s="36"/>
      <c r="AB5" s="37"/>
      <c r="AC5" s="36"/>
      <c r="AD5" s="38"/>
      <c r="AE5" s="5"/>
      <c r="AF5" s="5"/>
      <c r="AG5" s="10"/>
      <c r="AH5" s="214"/>
      <c r="AI5" s="214"/>
      <c r="AJ5" s="5" t="s">
        <v>46</v>
      </c>
      <c r="AK5" s="5"/>
      <c r="AL5" s="32"/>
      <c r="AM5" s="33"/>
      <c r="AN5" s="34"/>
      <c r="AO5" s="35"/>
      <c r="AP5" s="36"/>
      <c r="AQ5" s="37"/>
      <c r="AR5" s="36"/>
      <c r="AS5" s="38"/>
      <c r="AT5" s="5"/>
      <c r="AU5" s="5"/>
      <c r="AV5" s="5"/>
      <c r="AW5" s="5"/>
      <c r="AX5" s="5"/>
      <c r="AY5" s="5"/>
      <c r="AZ5" s="5"/>
      <c r="BA5" s="40" t="s">
        <v>47</v>
      </c>
      <c r="BB5" s="41">
        <v>5</v>
      </c>
      <c r="BC5" s="42" t="s">
        <v>48</v>
      </c>
      <c r="BD5" s="35">
        <v>2660</v>
      </c>
      <c r="BE5" s="43">
        <f t="shared" ref="BE5:BE35" si="0">BD5/190.6</f>
        <v>13.955928646379853</v>
      </c>
      <c r="BF5" s="35">
        <v>8</v>
      </c>
      <c r="BG5" s="44">
        <f t="shared" ref="BG5:BG35" si="1">BE5*BF5*BB5</f>
        <v>558.23714585519406</v>
      </c>
      <c r="BJ5" s="200"/>
      <c r="BK5" s="201"/>
      <c r="BL5" s="201"/>
      <c r="BM5" s="45" t="s">
        <v>43</v>
      </c>
      <c r="BN5" s="45" t="s">
        <v>44</v>
      </c>
      <c r="BO5" s="45" t="s">
        <v>45</v>
      </c>
      <c r="BP5" s="45" t="s">
        <v>44</v>
      </c>
      <c r="BQ5" s="45" t="s">
        <v>45</v>
      </c>
      <c r="BR5" s="203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J5" s="213" t="s">
        <v>15</v>
      </c>
      <c r="CK5" s="212" t="s">
        <v>23</v>
      </c>
      <c r="CL5" s="212" t="s">
        <v>49</v>
      </c>
      <c r="CM5" s="212" t="s">
        <v>43</v>
      </c>
      <c r="CN5" s="197" t="s">
        <v>19</v>
      </c>
      <c r="CO5" s="197"/>
      <c r="CP5" s="198" t="s">
        <v>20</v>
      </c>
      <c r="CQ5" s="198"/>
      <c r="CR5" s="198"/>
      <c r="CS5" s="46"/>
      <c r="CT5" s="28"/>
      <c r="CU5" s="47"/>
      <c r="CW5" s="28"/>
      <c r="CX5" s="47"/>
      <c r="CZ5" s="28"/>
      <c r="DA5" s="28"/>
      <c r="DB5" s="46"/>
      <c r="DC5" s="46"/>
      <c r="DD5" s="46"/>
      <c r="DE5" s="46"/>
      <c r="DF5" s="46"/>
      <c r="DG5" s="46"/>
    </row>
    <row r="6" spans="2:111" ht="15" customHeight="1" x14ac:dyDescent="0.25">
      <c r="B6" s="48" t="s">
        <v>50</v>
      </c>
      <c r="C6" s="210"/>
      <c r="D6" s="210"/>
      <c r="E6" s="210"/>
      <c r="F6" s="210"/>
      <c r="L6" s="40"/>
      <c r="M6" s="49" t="s">
        <v>146</v>
      </c>
      <c r="N6" s="42" t="s">
        <v>51</v>
      </c>
      <c r="O6" s="42">
        <v>15</v>
      </c>
      <c r="P6" s="1">
        <v>3200</v>
      </c>
      <c r="Q6" s="35"/>
      <c r="R6" s="50">
        <f>O6*P6</f>
        <v>48000</v>
      </c>
      <c r="S6" s="50">
        <f>O6*Q6</f>
        <v>0</v>
      </c>
      <c r="T6" s="51">
        <f t="shared" ref="T6:T13" si="2">(R6+S6)</f>
        <v>48000</v>
      </c>
      <c r="U6" s="5"/>
      <c r="W6" s="32"/>
      <c r="X6" s="33"/>
      <c r="Y6" s="34"/>
      <c r="Z6" s="35"/>
      <c r="AA6" s="52"/>
      <c r="AB6" s="37"/>
      <c r="AC6" s="36"/>
      <c r="AD6" s="38"/>
      <c r="AE6" s="5"/>
      <c r="AF6" s="5"/>
      <c r="AG6" s="10"/>
      <c r="AH6" s="39"/>
      <c r="AI6" s="4"/>
      <c r="AJ6" s="5"/>
      <c r="AK6" s="5"/>
      <c r="AL6" s="32"/>
      <c r="AM6" s="33"/>
      <c r="AN6" s="34"/>
      <c r="AO6" s="35"/>
      <c r="AP6" s="36"/>
      <c r="AQ6" s="37"/>
      <c r="AR6" s="36"/>
      <c r="AS6" s="38"/>
      <c r="AT6" s="5"/>
      <c r="AU6" s="5"/>
      <c r="AV6" s="5"/>
      <c r="AW6" s="5"/>
      <c r="AX6" s="5"/>
      <c r="AY6" s="5"/>
      <c r="AZ6" s="5"/>
      <c r="BA6" s="40" t="s">
        <v>47</v>
      </c>
      <c r="BB6" s="41">
        <v>1</v>
      </c>
      <c r="BC6" s="42" t="s">
        <v>52</v>
      </c>
      <c r="BD6" s="35">
        <v>2810</v>
      </c>
      <c r="BE6" s="43">
        <f t="shared" si="0"/>
        <v>14.742917103882476</v>
      </c>
      <c r="BF6" s="35">
        <v>8</v>
      </c>
      <c r="BG6" s="44">
        <f t="shared" si="1"/>
        <v>117.94333683105981</v>
      </c>
      <c r="BJ6" s="40"/>
      <c r="BK6" s="49"/>
      <c r="BL6" s="42"/>
      <c r="BM6" s="42"/>
      <c r="BN6" s="35"/>
      <c r="BO6" s="35"/>
      <c r="BP6" s="53">
        <f t="shared" ref="BP6:BP30" si="3">BM6*BN6</f>
        <v>0</v>
      </c>
      <c r="BQ6" s="53">
        <f t="shared" ref="BQ6:BQ30" si="4">BM6*BO6</f>
        <v>0</v>
      </c>
      <c r="BR6" s="44">
        <f t="shared" ref="BR6:BR30" si="5">BP6+BQ6</f>
        <v>0</v>
      </c>
      <c r="BU6" s="213" t="s">
        <v>15</v>
      </c>
      <c r="BV6" s="212" t="s">
        <v>23</v>
      </c>
      <c r="BW6" s="212" t="s">
        <v>49</v>
      </c>
      <c r="BX6" s="212" t="s">
        <v>43</v>
      </c>
      <c r="BY6" s="197" t="s">
        <v>19</v>
      </c>
      <c r="BZ6" s="197"/>
      <c r="CA6" s="198" t="s">
        <v>20</v>
      </c>
      <c r="CB6" s="198"/>
      <c r="CC6" s="198"/>
      <c r="CD6" s="46"/>
      <c r="CE6" s="46"/>
      <c r="CF6" s="46"/>
      <c r="CG6" s="46"/>
      <c r="CH6" s="46"/>
      <c r="CJ6" s="213"/>
      <c r="CK6" s="212"/>
      <c r="CL6" s="212"/>
      <c r="CM6" s="212"/>
      <c r="CN6" s="54" t="s">
        <v>44</v>
      </c>
      <c r="CO6" s="54" t="s">
        <v>45</v>
      </c>
      <c r="CP6" s="54" t="s">
        <v>44</v>
      </c>
      <c r="CQ6" s="54" t="s">
        <v>45</v>
      </c>
      <c r="CR6" s="55" t="s">
        <v>21</v>
      </c>
      <c r="CS6" s="46"/>
      <c r="CT6" s="207" t="s">
        <v>53</v>
      </c>
      <c r="CU6" s="207"/>
      <c r="CW6" s="207" t="s">
        <v>53</v>
      </c>
      <c r="CX6" s="207"/>
      <c r="CZ6" s="207" t="s">
        <v>53</v>
      </c>
      <c r="DA6" s="207"/>
      <c r="DB6" s="46"/>
      <c r="DC6" s="46"/>
      <c r="DD6" s="46"/>
      <c r="DE6" s="46"/>
      <c r="DF6" s="46"/>
      <c r="DG6" s="46"/>
    </row>
    <row r="7" spans="2:111" ht="15" customHeight="1" x14ac:dyDescent="0.25">
      <c r="B7" s="11" t="s">
        <v>54</v>
      </c>
      <c r="C7" s="208" t="s">
        <v>145</v>
      </c>
      <c r="D7" s="208"/>
      <c r="E7" s="208"/>
      <c r="F7" s="208"/>
      <c r="L7" s="40"/>
      <c r="M7" s="49" t="s">
        <v>149</v>
      </c>
      <c r="N7" s="42" t="s">
        <v>51</v>
      </c>
      <c r="O7" s="42">
        <v>236</v>
      </c>
      <c r="P7" s="35">
        <v>1000</v>
      </c>
      <c r="Q7" s="35"/>
      <c r="R7" s="50">
        <f>O7*P7</f>
        <v>236000</v>
      </c>
      <c r="S7" s="50">
        <f>O7*Q7</f>
        <v>0</v>
      </c>
      <c r="T7" s="51">
        <f t="shared" si="2"/>
        <v>236000</v>
      </c>
      <c r="U7" s="5"/>
      <c r="W7" s="56"/>
      <c r="X7" s="57"/>
      <c r="Y7" s="35"/>
      <c r="Z7" s="35"/>
      <c r="AA7" s="36"/>
      <c r="AB7" s="37"/>
      <c r="AC7" s="36"/>
      <c r="AD7" s="38"/>
      <c r="AE7" s="5"/>
      <c r="AF7" s="5"/>
      <c r="AG7" s="10"/>
      <c r="AH7" s="58"/>
      <c r="AI7" s="59"/>
      <c r="AJ7" s="5"/>
      <c r="AK7" s="5"/>
      <c r="AL7" s="56"/>
      <c r="AM7" s="57"/>
      <c r="AN7" s="35"/>
      <c r="AO7" s="35"/>
      <c r="AP7" s="36"/>
      <c r="AQ7" s="37"/>
      <c r="AR7" s="36"/>
      <c r="AS7" s="38"/>
      <c r="AT7" s="5"/>
      <c r="AU7" s="5"/>
      <c r="AV7" s="5"/>
      <c r="AW7" s="5"/>
      <c r="AX7" s="5"/>
      <c r="AY7" s="5"/>
      <c r="AZ7" s="5"/>
      <c r="BA7" s="40" t="s">
        <v>55</v>
      </c>
      <c r="BB7" s="41">
        <v>2</v>
      </c>
      <c r="BC7" s="42" t="s">
        <v>56</v>
      </c>
      <c r="BD7" s="35">
        <v>2660</v>
      </c>
      <c r="BE7" s="43">
        <f t="shared" si="0"/>
        <v>13.955928646379853</v>
      </c>
      <c r="BF7" s="35">
        <v>8</v>
      </c>
      <c r="BG7" s="44">
        <f t="shared" si="1"/>
        <v>223.29485834207765</v>
      </c>
      <c r="BJ7" s="40"/>
      <c r="BK7" s="49"/>
      <c r="BL7" s="42"/>
      <c r="BM7" s="42"/>
      <c r="BN7" s="35"/>
      <c r="BO7" s="35"/>
      <c r="BP7" s="53">
        <f t="shared" si="3"/>
        <v>0</v>
      </c>
      <c r="BQ7" s="53">
        <f t="shared" si="4"/>
        <v>0</v>
      </c>
      <c r="BR7" s="44">
        <f t="shared" si="5"/>
        <v>0</v>
      </c>
      <c r="BU7" s="213"/>
      <c r="BV7" s="212"/>
      <c r="BW7" s="212"/>
      <c r="BX7" s="212"/>
      <c r="BY7" s="54" t="s">
        <v>44</v>
      </c>
      <c r="BZ7" s="54" t="s">
        <v>45</v>
      </c>
      <c r="CA7" s="54" t="s">
        <v>44</v>
      </c>
      <c r="CB7" s="54" t="s">
        <v>45</v>
      </c>
      <c r="CC7" s="55" t="s">
        <v>21</v>
      </c>
      <c r="CD7" s="46"/>
      <c r="CE7" s="46"/>
      <c r="CF7" s="46"/>
      <c r="CG7" s="46"/>
      <c r="CH7" s="46"/>
      <c r="CJ7" s="40"/>
      <c r="CK7" s="57" t="s">
        <v>57</v>
      </c>
      <c r="CL7" s="57" t="s">
        <v>58</v>
      </c>
      <c r="CM7" s="57">
        <v>56</v>
      </c>
      <c r="CN7" s="35">
        <v>25</v>
      </c>
      <c r="CO7" s="35"/>
      <c r="CP7" s="60">
        <f t="shared" ref="CP7:CP13" si="6">CM7*CN7</f>
        <v>1400</v>
      </c>
      <c r="CQ7" s="60">
        <f t="shared" ref="CQ7:CQ13" si="7">CM7*CO7</f>
        <v>0</v>
      </c>
      <c r="CR7" s="61">
        <f t="shared" ref="CR7:CR13" si="8">CP7+CQ7</f>
        <v>1400</v>
      </c>
      <c r="CS7" s="5"/>
      <c r="CT7" s="26" t="s">
        <v>1</v>
      </c>
      <c r="CU7" s="62"/>
      <c r="CW7" s="26" t="s">
        <v>1</v>
      </c>
      <c r="CX7" s="63"/>
      <c r="CZ7" s="26" t="s">
        <v>1</v>
      </c>
      <c r="DA7" s="63"/>
      <c r="DB7" s="5"/>
      <c r="DC7" s="5"/>
      <c r="DD7" s="5"/>
      <c r="DE7" s="5"/>
      <c r="DF7" s="5"/>
      <c r="DG7" s="5"/>
    </row>
    <row r="8" spans="2:111" ht="15" customHeight="1" x14ac:dyDescent="0.2">
      <c r="B8" s="209" t="s">
        <v>59</v>
      </c>
      <c r="C8" s="209"/>
      <c r="D8" s="209"/>
      <c r="E8" s="209"/>
      <c r="F8" s="209"/>
      <c r="L8" s="40"/>
      <c r="M8" s="49" t="s">
        <v>60</v>
      </c>
      <c r="N8" s="42" t="s">
        <v>51</v>
      </c>
      <c r="O8" s="42">
        <v>442.01</v>
      </c>
      <c r="P8" s="35">
        <v>260</v>
      </c>
      <c r="Q8" s="35"/>
      <c r="R8" s="50">
        <f>O8*P8</f>
        <v>114922.59999999999</v>
      </c>
      <c r="S8" s="50">
        <f>O8*Q8</f>
        <v>0</v>
      </c>
      <c r="T8" s="51">
        <f t="shared" si="2"/>
        <v>114922.59999999999</v>
      </c>
      <c r="U8" s="5"/>
      <c r="W8" s="56"/>
      <c r="X8" s="57"/>
      <c r="Y8" s="35"/>
      <c r="Z8" s="35"/>
      <c r="AA8" s="36"/>
      <c r="AB8" s="37"/>
      <c r="AC8" s="36"/>
      <c r="AD8" s="38"/>
      <c r="AE8" s="5"/>
      <c r="AF8" s="5"/>
      <c r="AG8" s="10"/>
      <c r="AH8" s="64"/>
      <c r="AI8" s="5"/>
      <c r="AJ8" s="5"/>
      <c r="AK8" s="5"/>
      <c r="AL8" s="56"/>
      <c r="AM8" s="57"/>
      <c r="AN8" s="35"/>
      <c r="AO8" s="35"/>
      <c r="AP8" s="36"/>
      <c r="AQ8" s="37"/>
      <c r="AR8" s="36"/>
      <c r="AS8" s="38"/>
      <c r="AT8" s="5"/>
      <c r="AU8" s="5"/>
      <c r="AV8" s="5"/>
      <c r="AW8" s="5"/>
      <c r="AX8" s="5"/>
      <c r="AY8" s="5"/>
      <c r="AZ8" s="5"/>
      <c r="BA8" s="40"/>
      <c r="BB8" s="41"/>
      <c r="BC8" s="42"/>
      <c r="BD8" s="35"/>
      <c r="BE8" s="43">
        <f t="shared" si="0"/>
        <v>0</v>
      </c>
      <c r="BF8" s="35"/>
      <c r="BG8" s="44">
        <f t="shared" si="1"/>
        <v>0</v>
      </c>
      <c r="BJ8" s="40"/>
      <c r="BK8" s="49"/>
      <c r="BL8" s="42"/>
      <c r="BM8" s="42"/>
      <c r="BN8" s="35"/>
      <c r="BO8" s="35"/>
      <c r="BP8" s="53">
        <f t="shared" si="3"/>
        <v>0</v>
      </c>
      <c r="BQ8" s="53">
        <f t="shared" si="4"/>
        <v>0</v>
      </c>
      <c r="BR8" s="44">
        <f t="shared" si="5"/>
        <v>0</v>
      </c>
      <c r="BU8" s="40"/>
      <c r="BV8" s="57"/>
      <c r="BW8" s="57"/>
      <c r="BX8" s="57"/>
      <c r="BY8" s="35"/>
      <c r="BZ8" s="35"/>
      <c r="CA8" s="60">
        <f t="shared" ref="CA8:CA14" si="9">BX8*BY8</f>
        <v>0</v>
      </c>
      <c r="CB8" s="60">
        <f t="shared" ref="CB8:CB14" si="10">BX8*BZ8</f>
        <v>0</v>
      </c>
      <c r="CC8" s="61">
        <f t="shared" ref="CC8:CC14" si="11">CA8+CB8</f>
        <v>0</v>
      </c>
      <c r="CD8" s="5"/>
      <c r="CE8" s="5"/>
      <c r="CF8" s="5"/>
      <c r="CG8" s="5"/>
      <c r="CH8" s="5"/>
      <c r="CJ8" s="40"/>
      <c r="CK8" s="57"/>
      <c r="CL8" s="57"/>
      <c r="CM8" s="57"/>
      <c r="CN8" s="35"/>
      <c r="CO8" s="35"/>
      <c r="CP8" s="60">
        <f t="shared" si="6"/>
        <v>0</v>
      </c>
      <c r="CQ8" s="60">
        <f t="shared" si="7"/>
        <v>0</v>
      </c>
      <c r="CR8" s="61">
        <f t="shared" si="8"/>
        <v>0</v>
      </c>
      <c r="CS8" s="5"/>
      <c r="CT8" s="26" t="s">
        <v>61</v>
      </c>
      <c r="CU8" s="63"/>
      <c r="CW8" s="28"/>
      <c r="CX8" s="63"/>
      <c r="CZ8" s="28"/>
      <c r="DA8" s="47"/>
      <c r="DB8" s="5"/>
      <c r="DC8" s="5"/>
      <c r="DD8" s="5"/>
      <c r="DE8" s="5"/>
      <c r="DF8" s="5"/>
      <c r="DG8" s="5"/>
    </row>
    <row r="9" spans="2:111" ht="15" customHeight="1" x14ac:dyDescent="0.25">
      <c r="B9" s="210"/>
      <c r="C9" s="210"/>
      <c r="D9" s="211"/>
      <c r="E9" s="211"/>
      <c r="F9" s="211"/>
      <c r="L9" s="40"/>
      <c r="M9" s="49" t="s">
        <v>62</v>
      </c>
      <c r="N9" s="42" t="s">
        <v>51</v>
      </c>
      <c r="O9" s="42">
        <v>16.010000000000002</v>
      </c>
      <c r="P9" s="35">
        <v>80</v>
      </c>
      <c r="Q9" s="35"/>
      <c r="R9" s="50">
        <f>O9*P9</f>
        <v>1280.8000000000002</v>
      </c>
      <c r="S9" s="50">
        <f>O9*Q9</f>
        <v>0</v>
      </c>
      <c r="T9" s="51">
        <f t="shared" si="2"/>
        <v>1280.8000000000002</v>
      </c>
      <c r="U9" s="5"/>
      <c r="W9" s="56"/>
      <c r="X9" s="57"/>
      <c r="Y9" s="35"/>
      <c r="Z9" s="35"/>
      <c r="AA9" s="36"/>
      <c r="AB9" s="37"/>
      <c r="AC9" s="36"/>
      <c r="AD9" s="38"/>
      <c r="AE9" s="5"/>
      <c r="AF9" s="5"/>
      <c r="AG9" s="10"/>
      <c r="AH9" s="64"/>
      <c r="AI9" s="5"/>
      <c r="AJ9" s="5"/>
      <c r="AK9" s="5"/>
      <c r="AL9" s="56"/>
      <c r="AM9" s="57"/>
      <c r="AN9" s="35"/>
      <c r="AO9" s="35"/>
      <c r="AP9" s="36"/>
      <c r="AQ9" s="37"/>
      <c r="AR9" s="36"/>
      <c r="AS9" s="38"/>
      <c r="AT9" s="5"/>
      <c r="AU9" s="5"/>
      <c r="AV9" s="5"/>
      <c r="AW9" s="5"/>
      <c r="AX9" s="5"/>
      <c r="AY9" s="5"/>
      <c r="AZ9" s="5"/>
      <c r="BA9" s="40"/>
      <c r="BB9" s="41"/>
      <c r="BC9" s="42"/>
      <c r="BD9" s="35"/>
      <c r="BE9" s="43">
        <f t="shared" si="0"/>
        <v>0</v>
      </c>
      <c r="BF9" s="35"/>
      <c r="BG9" s="44">
        <f t="shared" si="1"/>
        <v>0</v>
      </c>
      <c r="BJ9" s="40"/>
      <c r="BK9" s="65"/>
      <c r="BL9" s="42"/>
      <c r="BM9" s="42"/>
      <c r="BN9" s="35"/>
      <c r="BO9" s="35"/>
      <c r="BP9" s="53">
        <f t="shared" si="3"/>
        <v>0</v>
      </c>
      <c r="BQ9" s="53">
        <f t="shared" si="4"/>
        <v>0</v>
      </c>
      <c r="BR9" s="44">
        <f t="shared" si="5"/>
        <v>0</v>
      </c>
      <c r="BU9" s="40"/>
      <c r="BV9" s="57"/>
      <c r="BW9" s="57"/>
      <c r="BX9" s="57"/>
      <c r="BY9" s="35"/>
      <c r="BZ9" s="35"/>
      <c r="CA9" s="60">
        <f t="shared" si="9"/>
        <v>0</v>
      </c>
      <c r="CB9" s="60">
        <f t="shared" si="10"/>
        <v>0</v>
      </c>
      <c r="CC9" s="61">
        <f t="shared" si="11"/>
        <v>0</v>
      </c>
      <c r="CD9" s="5"/>
      <c r="CE9" s="5"/>
      <c r="CF9" s="5"/>
      <c r="CG9" s="5"/>
      <c r="CH9" s="5"/>
      <c r="CJ9" s="40"/>
      <c r="CK9" s="57"/>
      <c r="CL9" s="57"/>
      <c r="CM9" s="57"/>
      <c r="CN9" s="35"/>
      <c r="CO9" s="35"/>
      <c r="CP9" s="60">
        <f t="shared" si="6"/>
        <v>0</v>
      </c>
      <c r="CQ9" s="60">
        <f t="shared" si="7"/>
        <v>0</v>
      </c>
      <c r="CR9" s="61">
        <f t="shared" si="8"/>
        <v>0</v>
      </c>
      <c r="CS9" s="5"/>
      <c r="CT9" s="26" t="s">
        <v>63</v>
      </c>
      <c r="CU9" s="63"/>
      <c r="CW9" s="28"/>
      <c r="CX9" s="63"/>
      <c r="CZ9" s="28"/>
      <c r="DA9" s="47"/>
      <c r="DB9" s="5"/>
      <c r="DC9" s="5"/>
      <c r="DD9" s="5"/>
      <c r="DE9" s="5"/>
      <c r="DF9" s="5"/>
      <c r="DG9" s="5"/>
    </row>
    <row r="10" spans="2:111" ht="15" customHeight="1" x14ac:dyDescent="0.2">
      <c r="B10" s="204" t="s">
        <v>64</v>
      </c>
      <c r="C10" s="204"/>
      <c r="D10" s="66">
        <v>4120</v>
      </c>
      <c r="E10" s="205" t="s">
        <v>148</v>
      </c>
      <c r="F10" s="205"/>
      <c r="L10" s="40"/>
      <c r="M10" s="49" t="s">
        <v>147</v>
      </c>
      <c r="N10" s="42" t="s">
        <v>51</v>
      </c>
      <c r="O10" s="42">
        <v>70.099999999999994</v>
      </c>
      <c r="P10" s="35">
        <v>820</v>
      </c>
      <c r="Q10" s="35"/>
      <c r="R10" s="50">
        <f>O9*P9</f>
        <v>1280.8000000000002</v>
      </c>
      <c r="S10" s="50">
        <f>O9*Q10</f>
        <v>0</v>
      </c>
      <c r="T10" s="51">
        <f t="shared" si="2"/>
        <v>1280.8000000000002</v>
      </c>
      <c r="U10" s="5"/>
      <c r="W10" s="56"/>
      <c r="X10" s="57"/>
      <c r="Y10" s="35"/>
      <c r="Z10" s="35"/>
      <c r="AA10" s="36"/>
      <c r="AB10" s="37"/>
      <c r="AC10" s="36"/>
      <c r="AD10" s="38"/>
      <c r="AE10" s="5"/>
      <c r="AF10" s="5"/>
      <c r="AG10" s="10"/>
      <c r="AH10" s="64"/>
      <c r="AI10" s="5"/>
      <c r="AJ10" s="5"/>
      <c r="AK10" s="5"/>
      <c r="AL10" s="56"/>
      <c r="AM10" s="57"/>
      <c r="AN10" s="35"/>
      <c r="AO10" s="35"/>
      <c r="AP10" s="36"/>
      <c r="AQ10" s="37"/>
      <c r="AR10" s="36"/>
      <c r="AS10" s="38"/>
      <c r="AT10" s="5"/>
      <c r="AU10" s="5"/>
      <c r="AV10" s="5"/>
      <c r="AW10" s="5"/>
      <c r="AX10" s="5"/>
      <c r="AY10" s="5"/>
      <c r="AZ10" s="5"/>
      <c r="BA10" s="40"/>
      <c r="BB10" s="41"/>
      <c r="BC10" s="42"/>
      <c r="BD10" s="35"/>
      <c r="BE10" s="43">
        <f t="shared" si="0"/>
        <v>0</v>
      </c>
      <c r="BF10" s="35"/>
      <c r="BG10" s="44">
        <f t="shared" si="1"/>
        <v>0</v>
      </c>
      <c r="BJ10" s="40"/>
      <c r="BK10" s="49"/>
      <c r="BL10" s="42"/>
      <c r="BM10" s="42"/>
      <c r="BN10" s="35"/>
      <c r="BO10" s="35"/>
      <c r="BP10" s="53">
        <f t="shared" si="3"/>
        <v>0</v>
      </c>
      <c r="BQ10" s="53">
        <f t="shared" si="4"/>
        <v>0</v>
      </c>
      <c r="BR10" s="44">
        <f t="shared" si="5"/>
        <v>0</v>
      </c>
      <c r="BU10" s="40"/>
      <c r="BV10" s="57"/>
      <c r="BW10" s="57"/>
      <c r="BX10" s="57"/>
      <c r="BY10" s="35"/>
      <c r="BZ10" s="35"/>
      <c r="CA10" s="60">
        <f t="shared" si="9"/>
        <v>0</v>
      </c>
      <c r="CB10" s="60">
        <f t="shared" si="10"/>
        <v>0</v>
      </c>
      <c r="CC10" s="61">
        <f t="shared" si="11"/>
        <v>0</v>
      </c>
      <c r="CD10" s="5"/>
      <c r="CE10" s="5"/>
      <c r="CF10" s="5"/>
      <c r="CG10" s="5"/>
      <c r="CH10" s="5"/>
      <c r="CJ10" s="40"/>
      <c r="CK10" s="57"/>
      <c r="CL10" s="57"/>
      <c r="CM10" s="57"/>
      <c r="CN10" s="35"/>
      <c r="CO10" s="35"/>
      <c r="CP10" s="60">
        <f t="shared" si="6"/>
        <v>0</v>
      </c>
      <c r="CQ10" s="60">
        <f t="shared" si="7"/>
        <v>0</v>
      </c>
      <c r="CR10" s="61">
        <f t="shared" si="8"/>
        <v>0</v>
      </c>
      <c r="CS10" s="5"/>
      <c r="CT10" s="26" t="s">
        <v>65</v>
      </c>
      <c r="CU10" s="63">
        <f>SUM(CU7:CU9)</f>
        <v>0</v>
      </c>
      <c r="CW10" s="26" t="s">
        <v>65</v>
      </c>
      <c r="CX10" s="63">
        <f>SUM(CX7:CX9)</f>
        <v>0</v>
      </c>
      <c r="CZ10" s="26" t="s">
        <v>65</v>
      </c>
      <c r="DA10" s="63">
        <f>SUM(DA7:DA9)</f>
        <v>0</v>
      </c>
      <c r="DB10" s="5"/>
      <c r="DC10" s="5"/>
      <c r="DD10" s="5"/>
      <c r="DE10" s="5"/>
      <c r="DF10" s="5"/>
      <c r="DG10" s="5"/>
    </row>
    <row r="11" spans="2:111" ht="29.85" customHeight="1" x14ac:dyDescent="0.2">
      <c r="B11" s="7" t="s">
        <v>66</v>
      </c>
      <c r="C11" s="67" t="s">
        <v>67</v>
      </c>
      <c r="D11" s="3" t="s">
        <v>68</v>
      </c>
      <c r="E11" s="67" t="s">
        <v>69</v>
      </c>
      <c r="F11" s="67" t="s">
        <v>70</v>
      </c>
      <c r="L11" s="40"/>
      <c r="M11" s="49" t="s">
        <v>154</v>
      </c>
      <c r="N11" s="42" t="s">
        <v>51</v>
      </c>
      <c r="O11" s="42">
        <v>70.010000000000005</v>
      </c>
      <c r="P11" s="35">
        <v>1320</v>
      </c>
      <c r="Q11" s="35"/>
      <c r="R11" s="50">
        <f>O11*P11</f>
        <v>92413.200000000012</v>
      </c>
      <c r="S11" s="50">
        <f>O11*Q11</f>
        <v>0</v>
      </c>
      <c r="T11" s="51">
        <f t="shared" si="2"/>
        <v>92413.200000000012</v>
      </c>
      <c r="U11" s="5"/>
      <c r="W11" s="56"/>
      <c r="X11" s="57"/>
      <c r="Y11" s="35"/>
      <c r="Z11" s="35"/>
      <c r="AA11" s="36">
        <f t="shared" ref="AA11:AA36" si="12">Y11-Z11</f>
        <v>0</v>
      </c>
      <c r="AB11" s="37"/>
      <c r="AC11" s="36">
        <f t="shared" ref="AC11:AC35" si="13">AA11*AB11%</f>
        <v>0</v>
      </c>
      <c r="AD11" s="38">
        <f>AC11*AB88/AE88</f>
        <v>0</v>
      </c>
      <c r="AE11" s="5"/>
      <c r="AF11" s="5"/>
      <c r="AG11" s="10"/>
      <c r="AH11" s="5"/>
      <c r="AI11" s="64"/>
      <c r="AJ11" s="5"/>
      <c r="AK11" s="5"/>
      <c r="AL11" s="56"/>
      <c r="AM11" s="57"/>
      <c r="AN11" s="35"/>
      <c r="AO11" s="35"/>
      <c r="AP11" s="36"/>
      <c r="AQ11" s="37"/>
      <c r="AR11" s="36"/>
      <c r="AS11" s="38"/>
      <c r="AT11" s="5"/>
      <c r="AU11" s="5"/>
      <c r="AV11" s="5"/>
      <c r="AW11" s="5"/>
      <c r="AX11" s="5"/>
      <c r="AY11" s="5"/>
      <c r="AZ11" s="5"/>
      <c r="BA11" s="40"/>
      <c r="BB11" s="41"/>
      <c r="BC11" s="42"/>
      <c r="BD11" s="35"/>
      <c r="BE11" s="43">
        <f t="shared" si="0"/>
        <v>0</v>
      </c>
      <c r="BF11" s="35"/>
      <c r="BG11" s="44">
        <f t="shared" si="1"/>
        <v>0</v>
      </c>
      <c r="BJ11" s="40"/>
      <c r="BK11" s="49"/>
      <c r="BL11" s="42"/>
      <c r="BM11" s="42"/>
      <c r="BN11" s="35"/>
      <c r="BO11" s="35"/>
      <c r="BP11" s="53">
        <f t="shared" si="3"/>
        <v>0</v>
      </c>
      <c r="BQ11" s="53">
        <f t="shared" si="4"/>
        <v>0</v>
      </c>
      <c r="BR11" s="44">
        <f t="shared" si="5"/>
        <v>0</v>
      </c>
      <c r="BU11" s="40"/>
      <c r="BV11" s="57"/>
      <c r="BW11" s="57"/>
      <c r="BX11" s="57"/>
      <c r="BY11" s="35"/>
      <c r="BZ11" s="35"/>
      <c r="CA11" s="60">
        <f t="shared" si="9"/>
        <v>0</v>
      </c>
      <c r="CB11" s="60">
        <f t="shared" si="10"/>
        <v>0</v>
      </c>
      <c r="CC11" s="61">
        <f t="shared" si="11"/>
        <v>0</v>
      </c>
      <c r="CD11" s="5"/>
      <c r="CE11" s="5"/>
      <c r="CF11" s="5"/>
      <c r="CG11" s="5"/>
      <c r="CH11" s="5"/>
      <c r="CJ11" s="40"/>
      <c r="CK11" s="57"/>
      <c r="CL11" s="57"/>
      <c r="CM11" s="57"/>
      <c r="CN11" s="35"/>
      <c r="CO11" s="35"/>
      <c r="CP11" s="60">
        <f t="shared" si="6"/>
        <v>0</v>
      </c>
      <c r="CQ11" s="60">
        <f t="shared" si="7"/>
        <v>0</v>
      </c>
      <c r="CR11" s="61">
        <f t="shared" si="8"/>
        <v>0</v>
      </c>
      <c r="CS11" s="5"/>
      <c r="CT11" s="28"/>
      <c r="CU11" s="47"/>
      <c r="CW11" s="28"/>
      <c r="CX11" s="63"/>
      <c r="CZ11" s="28"/>
      <c r="DA11" s="28"/>
      <c r="DB11" s="5"/>
      <c r="DC11" s="5"/>
      <c r="DD11" s="5"/>
      <c r="DE11" s="5"/>
      <c r="DF11" s="5"/>
      <c r="DG11" s="5"/>
    </row>
    <row r="12" spans="2:111" ht="15" customHeight="1" x14ac:dyDescent="0.2">
      <c r="B12" s="68">
        <v>1</v>
      </c>
      <c r="C12" s="3">
        <v>2</v>
      </c>
      <c r="D12" s="3">
        <v>3</v>
      </c>
      <c r="E12" s="69">
        <v>4</v>
      </c>
      <c r="F12" s="69">
        <v>5</v>
      </c>
      <c r="L12" s="40"/>
      <c r="M12" s="49" t="s">
        <v>71</v>
      </c>
      <c r="N12" s="42" t="s">
        <v>51</v>
      </c>
      <c r="O12" s="42">
        <v>21</v>
      </c>
      <c r="P12" s="35">
        <v>620</v>
      </c>
      <c r="Q12" s="35"/>
      <c r="R12" s="50">
        <f>O11*P11</f>
        <v>92413.200000000012</v>
      </c>
      <c r="S12" s="50">
        <f>O11*Q12</f>
        <v>0</v>
      </c>
      <c r="T12" s="51">
        <f t="shared" si="2"/>
        <v>92413.200000000012</v>
      </c>
      <c r="U12" s="5"/>
      <c r="W12" s="56"/>
      <c r="X12" s="57"/>
      <c r="Y12" s="35"/>
      <c r="Z12" s="35"/>
      <c r="AA12" s="36">
        <f t="shared" si="12"/>
        <v>0</v>
      </c>
      <c r="AB12" s="37"/>
      <c r="AC12" s="36">
        <f t="shared" si="13"/>
        <v>0</v>
      </c>
      <c r="AD12" s="38">
        <f>AC12*AB88/AE88</f>
        <v>0</v>
      </c>
      <c r="AE12" s="5"/>
      <c r="AF12" s="70"/>
      <c r="AG12" s="5"/>
      <c r="AH12" s="64"/>
      <c r="AI12" s="5"/>
      <c r="AJ12" s="5"/>
      <c r="AK12" s="5"/>
      <c r="AL12" s="56"/>
      <c r="AM12" s="57"/>
      <c r="AN12" s="35"/>
      <c r="AO12" s="35"/>
      <c r="AP12" s="36"/>
      <c r="AQ12" s="37"/>
      <c r="AR12" s="36"/>
      <c r="AS12" s="38"/>
      <c r="AT12" s="5"/>
      <c r="AU12" s="5"/>
      <c r="AV12" s="5"/>
      <c r="AW12" s="5"/>
      <c r="AX12" s="5"/>
      <c r="AY12" s="5"/>
      <c r="AZ12" s="5"/>
      <c r="BA12" s="40"/>
      <c r="BB12" s="41"/>
      <c r="BC12" s="42"/>
      <c r="BD12" s="35"/>
      <c r="BE12" s="43">
        <f t="shared" si="0"/>
        <v>0</v>
      </c>
      <c r="BF12" s="35"/>
      <c r="BG12" s="44">
        <f t="shared" si="1"/>
        <v>0</v>
      </c>
      <c r="BJ12" s="40"/>
      <c r="BK12" s="49"/>
      <c r="BL12" s="42"/>
      <c r="BM12" s="42"/>
      <c r="BN12" s="35"/>
      <c r="BO12" s="35"/>
      <c r="BP12" s="53">
        <f t="shared" si="3"/>
        <v>0</v>
      </c>
      <c r="BQ12" s="53">
        <f t="shared" si="4"/>
        <v>0</v>
      </c>
      <c r="BR12" s="44">
        <f t="shared" si="5"/>
        <v>0</v>
      </c>
      <c r="BU12" s="40"/>
      <c r="BV12" s="57"/>
      <c r="BW12" s="57"/>
      <c r="BX12" s="57"/>
      <c r="BY12" s="35"/>
      <c r="BZ12" s="35"/>
      <c r="CA12" s="60">
        <f t="shared" si="9"/>
        <v>0</v>
      </c>
      <c r="CB12" s="60">
        <f t="shared" si="10"/>
        <v>0</v>
      </c>
      <c r="CC12" s="61">
        <f t="shared" si="11"/>
        <v>0</v>
      </c>
      <c r="CD12" s="5"/>
      <c r="CE12" s="5"/>
      <c r="CF12" s="5"/>
      <c r="CG12" s="5"/>
      <c r="CH12" s="5"/>
      <c r="CJ12" s="40"/>
      <c r="CK12" s="57"/>
      <c r="CL12" s="57"/>
      <c r="CM12" s="57"/>
      <c r="CN12" s="35"/>
      <c r="CO12" s="35"/>
      <c r="CP12" s="60">
        <f t="shared" si="6"/>
        <v>0</v>
      </c>
      <c r="CQ12" s="60">
        <f t="shared" si="7"/>
        <v>0</v>
      </c>
      <c r="CR12" s="61">
        <f t="shared" si="8"/>
        <v>0</v>
      </c>
      <c r="CS12" s="5"/>
      <c r="CT12" s="26" t="s">
        <v>72</v>
      </c>
      <c r="CU12" s="63">
        <f>CU10*CU4</f>
        <v>0</v>
      </c>
      <c r="CW12" s="26" t="s">
        <v>72</v>
      </c>
      <c r="CX12" s="63">
        <f>CX10*CX4</f>
        <v>0</v>
      </c>
      <c r="CZ12" s="26" t="s">
        <v>72</v>
      </c>
      <c r="DA12" s="28">
        <f>DA10*DA4</f>
        <v>0</v>
      </c>
      <c r="DB12" s="5"/>
      <c r="DC12" s="5"/>
      <c r="DD12" s="5"/>
      <c r="DE12" s="5"/>
      <c r="DF12" s="5"/>
      <c r="DG12" s="5"/>
    </row>
    <row r="13" spans="2:111" ht="15" customHeight="1" x14ac:dyDescent="0.2">
      <c r="B13" s="71" t="s">
        <v>73</v>
      </c>
      <c r="C13" s="72">
        <v>1</v>
      </c>
      <c r="D13" s="73">
        <f>E13+F13</f>
        <v>587856.29599999997</v>
      </c>
      <c r="E13" s="74">
        <f>SUM(E14:E17)</f>
        <v>587856.29599999997</v>
      </c>
      <c r="F13" s="75">
        <f>SUM(F14:F17)</f>
        <v>0</v>
      </c>
      <c r="L13" s="40"/>
      <c r="M13" s="76" t="s">
        <v>155</v>
      </c>
      <c r="N13" s="42" t="s">
        <v>51</v>
      </c>
      <c r="O13" s="77">
        <v>6</v>
      </c>
      <c r="P13" s="35">
        <v>256</v>
      </c>
      <c r="Q13" s="35"/>
      <c r="R13" s="50">
        <f>O13*P13</f>
        <v>1536</v>
      </c>
      <c r="S13" s="50">
        <f>O12*Q13</f>
        <v>0</v>
      </c>
      <c r="T13" s="51">
        <f t="shared" si="2"/>
        <v>1536</v>
      </c>
      <c r="U13" s="5"/>
      <c r="W13" s="56"/>
      <c r="X13" s="57"/>
      <c r="Y13" s="35"/>
      <c r="Z13" s="35"/>
      <c r="AA13" s="36">
        <f t="shared" si="12"/>
        <v>0</v>
      </c>
      <c r="AB13" s="78"/>
      <c r="AC13" s="36">
        <f t="shared" si="13"/>
        <v>0</v>
      </c>
      <c r="AD13" s="38">
        <f>AC13*AB88/AE88</f>
        <v>0</v>
      </c>
      <c r="AE13" s="5"/>
      <c r="AF13" s="70"/>
      <c r="AG13" s="5"/>
      <c r="AH13" s="64"/>
      <c r="AI13" s="5"/>
      <c r="AJ13" s="5"/>
      <c r="AK13" s="5"/>
      <c r="AL13" s="56"/>
      <c r="AM13" s="57"/>
      <c r="AN13" s="79"/>
      <c r="AO13" s="35"/>
      <c r="AP13" s="36"/>
      <c r="AQ13" s="37"/>
      <c r="AR13" s="36"/>
      <c r="AS13" s="38"/>
      <c r="AT13" s="5"/>
      <c r="AU13" s="5"/>
      <c r="AV13" s="5"/>
      <c r="AW13" s="5"/>
      <c r="AX13" s="5"/>
      <c r="AY13" s="5"/>
      <c r="AZ13" s="5"/>
      <c r="BA13" s="40"/>
      <c r="BB13" s="41"/>
      <c r="BC13" s="42"/>
      <c r="BD13" s="35"/>
      <c r="BE13" s="43">
        <f t="shared" si="0"/>
        <v>0</v>
      </c>
      <c r="BF13" s="35"/>
      <c r="BG13" s="44">
        <f t="shared" si="1"/>
        <v>0</v>
      </c>
      <c r="BJ13" s="40"/>
      <c r="BK13" s="49"/>
      <c r="BL13" s="42"/>
      <c r="BM13" s="42"/>
      <c r="BN13" s="35"/>
      <c r="BO13" s="35"/>
      <c r="BP13" s="53">
        <f t="shared" si="3"/>
        <v>0</v>
      </c>
      <c r="BQ13" s="53">
        <f t="shared" si="4"/>
        <v>0</v>
      </c>
      <c r="BR13" s="44">
        <f t="shared" si="5"/>
        <v>0</v>
      </c>
      <c r="BU13" s="40"/>
      <c r="BV13" s="57"/>
      <c r="BW13" s="57"/>
      <c r="BX13" s="57"/>
      <c r="BY13" s="35"/>
      <c r="BZ13" s="35"/>
      <c r="CA13" s="60">
        <f t="shared" si="9"/>
        <v>0</v>
      </c>
      <c r="CB13" s="60">
        <f t="shared" si="10"/>
        <v>0</v>
      </c>
      <c r="CC13" s="61">
        <f t="shared" si="11"/>
        <v>0</v>
      </c>
      <c r="CD13" s="5"/>
      <c r="CE13" s="5"/>
      <c r="CF13" s="5"/>
      <c r="CG13" s="5"/>
      <c r="CH13" s="5"/>
      <c r="CJ13" s="40"/>
      <c r="CK13" s="57"/>
      <c r="CL13" s="57"/>
      <c r="CM13" s="57"/>
      <c r="CN13" s="35"/>
      <c r="CO13" s="35"/>
      <c r="CP13" s="60">
        <f t="shared" si="6"/>
        <v>0</v>
      </c>
      <c r="CQ13" s="60">
        <f t="shared" si="7"/>
        <v>0</v>
      </c>
      <c r="CR13" s="61">
        <f t="shared" si="8"/>
        <v>0</v>
      </c>
      <c r="CS13" s="5"/>
      <c r="CT13" s="26" t="s">
        <v>74</v>
      </c>
      <c r="CU13" s="80">
        <f>AB88</f>
        <v>2</v>
      </c>
      <c r="CW13" s="26" t="s">
        <v>74</v>
      </c>
      <c r="CX13" s="80">
        <f>AB88</f>
        <v>2</v>
      </c>
      <c r="CZ13" s="26" t="s">
        <v>74</v>
      </c>
      <c r="DA13" s="80">
        <f>AB88</f>
        <v>2</v>
      </c>
      <c r="DB13" s="5"/>
      <c r="DC13" s="5"/>
      <c r="DD13" s="5"/>
      <c r="DE13" s="5"/>
      <c r="DF13" s="5"/>
      <c r="DG13" s="5"/>
    </row>
    <row r="14" spans="2:111" ht="15" customHeight="1" x14ac:dyDescent="0.25">
      <c r="B14" s="81" t="s">
        <v>75</v>
      </c>
      <c r="C14" s="82">
        <v>1.2</v>
      </c>
      <c r="D14" s="83">
        <f>E14+F14</f>
        <v>587846.6</v>
      </c>
      <c r="E14" s="84">
        <f>R30</f>
        <v>587846.6</v>
      </c>
      <c r="F14" s="85">
        <f>S30</f>
        <v>0</v>
      </c>
      <c r="L14" s="40"/>
      <c r="M14" s="49"/>
      <c r="N14" s="42"/>
      <c r="O14" s="42"/>
      <c r="P14" s="35"/>
      <c r="Q14" s="35"/>
      <c r="R14" s="50"/>
      <c r="S14" s="50"/>
      <c r="T14" s="51"/>
      <c r="U14" s="5"/>
      <c r="W14" s="56"/>
      <c r="X14" s="57"/>
      <c r="Y14" s="35"/>
      <c r="Z14" s="35"/>
      <c r="AA14" s="36">
        <f t="shared" si="12"/>
        <v>0</v>
      </c>
      <c r="AB14" s="78"/>
      <c r="AC14" s="36">
        <f t="shared" si="13"/>
        <v>0</v>
      </c>
      <c r="AD14" s="38">
        <f>AC14*AB88/AE88</f>
        <v>0</v>
      </c>
      <c r="AE14" s="5"/>
      <c r="AF14" s="70"/>
      <c r="AG14" s="5"/>
      <c r="AH14" s="64"/>
      <c r="AI14" s="5"/>
      <c r="AJ14" s="5"/>
      <c r="AK14" s="5"/>
      <c r="AL14" s="56"/>
      <c r="AM14" s="57"/>
      <c r="AN14" s="35"/>
      <c r="AO14" s="35"/>
      <c r="AP14" s="36"/>
      <c r="AQ14" s="37"/>
      <c r="AR14" s="36"/>
      <c r="AS14" s="38"/>
      <c r="AT14" s="5"/>
      <c r="AU14" s="5"/>
      <c r="AV14" s="5"/>
      <c r="AW14" s="5"/>
      <c r="AX14" s="5"/>
      <c r="AY14" s="5"/>
      <c r="AZ14" s="5"/>
      <c r="BA14" s="40"/>
      <c r="BB14" s="41"/>
      <c r="BC14" s="42"/>
      <c r="BD14" s="35"/>
      <c r="BE14" s="43">
        <f t="shared" si="0"/>
        <v>0</v>
      </c>
      <c r="BF14" s="35"/>
      <c r="BG14" s="44">
        <f t="shared" si="1"/>
        <v>0</v>
      </c>
      <c r="BJ14" s="40"/>
      <c r="BK14" s="65"/>
      <c r="BL14" s="42"/>
      <c r="BM14" s="42"/>
      <c r="BN14" s="35"/>
      <c r="BO14" s="35"/>
      <c r="BP14" s="53">
        <f t="shared" si="3"/>
        <v>0</v>
      </c>
      <c r="BQ14" s="53">
        <f t="shared" si="4"/>
        <v>0</v>
      </c>
      <c r="BR14" s="44">
        <f t="shared" si="5"/>
        <v>0</v>
      </c>
      <c r="BU14" s="40"/>
      <c r="BV14" s="57"/>
      <c r="BW14" s="57"/>
      <c r="BX14" s="57"/>
      <c r="BY14" s="35"/>
      <c r="BZ14" s="35"/>
      <c r="CA14" s="60">
        <f t="shared" si="9"/>
        <v>0</v>
      </c>
      <c r="CB14" s="60">
        <f t="shared" si="10"/>
        <v>0</v>
      </c>
      <c r="CC14" s="61">
        <f t="shared" si="11"/>
        <v>0</v>
      </c>
      <c r="CD14" s="5"/>
      <c r="CE14" s="5"/>
      <c r="CF14" s="5"/>
      <c r="CG14" s="5"/>
      <c r="CH14" s="5"/>
      <c r="CJ14" s="86"/>
      <c r="CK14" s="87" t="s">
        <v>21</v>
      </c>
      <c r="CL14" s="88"/>
      <c r="CM14" s="88"/>
      <c r="CN14" s="89"/>
      <c r="CO14" s="89"/>
      <c r="CP14" s="90">
        <f>SUM(CP7:CP13)</f>
        <v>1400</v>
      </c>
      <c r="CQ14" s="90">
        <f>SUM(CQ7:CQ13)</f>
        <v>0</v>
      </c>
      <c r="CR14" s="90">
        <f>SUM(CR7:CR13)</f>
        <v>1400</v>
      </c>
      <c r="CS14" s="5"/>
      <c r="CT14" s="26" t="s">
        <v>76</v>
      </c>
      <c r="CU14" s="80">
        <f>AE88</f>
        <v>1382400</v>
      </c>
      <c r="CW14" s="26" t="s">
        <v>76</v>
      </c>
      <c r="CX14" s="80">
        <f>AE88</f>
        <v>1382400</v>
      </c>
      <c r="CZ14" s="26" t="s">
        <v>76</v>
      </c>
      <c r="DA14" s="80">
        <f>AE88</f>
        <v>1382400</v>
      </c>
      <c r="DB14" s="5"/>
      <c r="DC14" s="5"/>
      <c r="DD14" s="5"/>
      <c r="DE14" s="5"/>
      <c r="DF14" s="5"/>
      <c r="DG14" s="5"/>
    </row>
    <row r="15" spans="2:111" ht="15" customHeight="1" x14ac:dyDescent="0.25">
      <c r="B15" s="81" t="s">
        <v>77</v>
      </c>
      <c r="C15" s="82">
        <v>1.3</v>
      </c>
      <c r="D15" s="83">
        <f>E15+F15</f>
        <v>0</v>
      </c>
      <c r="E15" s="84">
        <f>R99</f>
        <v>0</v>
      </c>
      <c r="F15" s="85">
        <f>S99</f>
        <v>0</v>
      </c>
      <c r="L15" s="40"/>
      <c r="M15" s="49"/>
      <c r="N15" s="42"/>
      <c r="O15" s="42"/>
      <c r="P15" s="35"/>
      <c r="Q15" s="35"/>
      <c r="R15" s="50"/>
      <c r="S15" s="50"/>
      <c r="T15" s="51"/>
      <c r="U15" s="5"/>
      <c r="W15" s="56"/>
      <c r="X15" s="57"/>
      <c r="Y15" s="35"/>
      <c r="Z15" s="35"/>
      <c r="AA15" s="36">
        <f t="shared" si="12"/>
        <v>0</v>
      </c>
      <c r="AB15" s="78"/>
      <c r="AC15" s="36">
        <f t="shared" si="13"/>
        <v>0</v>
      </c>
      <c r="AD15" s="38">
        <f>AC15*AB88/AE88</f>
        <v>0</v>
      </c>
      <c r="AE15" s="5"/>
      <c r="AF15" s="70"/>
      <c r="AG15" s="5"/>
      <c r="AH15" s="64"/>
      <c r="AI15" s="5"/>
      <c r="AJ15" s="5"/>
      <c r="AK15" s="5"/>
      <c r="AL15" s="56"/>
      <c r="AM15" s="57"/>
      <c r="AN15" s="35"/>
      <c r="AO15" s="35"/>
      <c r="AP15" s="36"/>
      <c r="AQ15" s="37"/>
      <c r="AR15" s="36"/>
      <c r="AS15" s="38"/>
      <c r="AT15" s="5"/>
      <c r="AU15" s="5"/>
      <c r="AV15" s="5"/>
      <c r="AW15" s="5"/>
      <c r="AX15" s="5"/>
      <c r="AY15" s="5"/>
      <c r="AZ15" s="5"/>
      <c r="BA15" s="40"/>
      <c r="BB15" s="41"/>
      <c r="BC15" s="42"/>
      <c r="BD15" s="35"/>
      <c r="BE15" s="43">
        <f t="shared" si="0"/>
        <v>0</v>
      </c>
      <c r="BF15" s="35"/>
      <c r="BG15" s="44">
        <f t="shared" si="1"/>
        <v>0</v>
      </c>
      <c r="BJ15" s="40"/>
      <c r="BK15" s="49"/>
      <c r="BL15" s="42"/>
      <c r="BM15" s="42"/>
      <c r="BN15" s="35"/>
      <c r="BO15" s="35"/>
      <c r="BP15" s="53">
        <f t="shared" si="3"/>
        <v>0</v>
      </c>
      <c r="BQ15" s="53">
        <f t="shared" si="4"/>
        <v>0</v>
      </c>
      <c r="BR15" s="44">
        <f t="shared" si="5"/>
        <v>0</v>
      </c>
      <c r="BU15" s="86"/>
      <c r="BV15" s="87" t="s">
        <v>21</v>
      </c>
      <c r="BW15" s="88"/>
      <c r="BX15" s="88"/>
      <c r="BY15" s="89"/>
      <c r="BZ15" s="89"/>
      <c r="CA15" s="90">
        <f>SUM(CA8:CA14)</f>
        <v>0</v>
      </c>
      <c r="CB15" s="90">
        <f>SUM(CB8:CB14)</f>
        <v>0</v>
      </c>
      <c r="CC15" s="90">
        <f>SUM(CC8:CC14)</f>
        <v>0</v>
      </c>
      <c r="CD15" s="5"/>
      <c r="CE15" s="5"/>
      <c r="CF15" s="5"/>
      <c r="CG15" s="5"/>
      <c r="CH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26" t="s">
        <v>78</v>
      </c>
      <c r="CU15" s="91">
        <f>IF(CU14=0,0,CU12*CU13/CU14)</f>
        <v>0</v>
      </c>
      <c r="CW15" s="26" t="s">
        <v>78</v>
      </c>
      <c r="CX15" s="91">
        <f>IF(CX14=0,0,CX12*CX13/CX14)</f>
        <v>0</v>
      </c>
      <c r="CZ15" s="26" t="s">
        <v>78</v>
      </c>
      <c r="DA15" s="92">
        <f>IF(DA14=0,0,DA12*DA13/DA14)</f>
        <v>0</v>
      </c>
      <c r="DB15" s="5"/>
      <c r="DC15" s="5"/>
      <c r="DD15" s="5"/>
      <c r="DE15" s="5"/>
      <c r="DF15" s="5"/>
      <c r="DG15" s="5"/>
    </row>
    <row r="16" spans="2:111" ht="15" customHeight="1" x14ac:dyDescent="0.2">
      <c r="B16" s="81" t="s">
        <v>79</v>
      </c>
      <c r="C16" s="82">
        <v>1.4</v>
      </c>
      <c r="D16" s="83">
        <f>E16+F16</f>
        <v>6.6959999999999997</v>
      </c>
      <c r="E16" s="84">
        <f>R77</f>
        <v>6.6959999999999997</v>
      </c>
      <c r="F16" s="85">
        <f>S77</f>
        <v>0</v>
      </c>
      <c r="L16" s="40"/>
      <c r="M16" s="49"/>
      <c r="N16" s="42"/>
      <c r="O16" s="42"/>
      <c r="P16" s="35"/>
      <c r="Q16" s="35"/>
      <c r="R16" s="50">
        <f t="shared" ref="R16:R29" si="14">O16*P16</f>
        <v>0</v>
      </c>
      <c r="S16" s="50">
        <f t="shared" ref="S16:S29" si="15">O16*Q16</f>
        <v>0</v>
      </c>
      <c r="T16" s="51">
        <f t="shared" ref="T16:T29" si="16">R16+S16</f>
        <v>0</v>
      </c>
      <c r="U16" s="5"/>
      <c r="W16" s="56"/>
      <c r="X16" s="57"/>
      <c r="Y16" s="35"/>
      <c r="Z16" s="35"/>
      <c r="AA16" s="36">
        <f t="shared" si="12"/>
        <v>0</v>
      </c>
      <c r="AB16" s="78"/>
      <c r="AC16" s="36">
        <f t="shared" si="13"/>
        <v>0</v>
      </c>
      <c r="AD16" s="38">
        <f>AC16*AB88/AE88</f>
        <v>0</v>
      </c>
      <c r="AE16" s="5"/>
      <c r="AF16" s="70"/>
      <c r="AG16" s="5"/>
      <c r="AH16" s="64"/>
      <c r="AI16" s="5"/>
      <c r="AJ16" s="5"/>
      <c r="AK16" s="5"/>
      <c r="AL16" s="56"/>
      <c r="AM16" s="57"/>
      <c r="AN16" s="35"/>
      <c r="AO16" s="35"/>
      <c r="AP16" s="36"/>
      <c r="AQ16" s="37"/>
      <c r="AR16" s="36"/>
      <c r="AS16" s="38"/>
      <c r="AT16" s="5"/>
      <c r="AU16" s="5"/>
      <c r="AV16" s="5"/>
      <c r="AW16" s="5"/>
      <c r="AX16" s="5"/>
      <c r="AY16" s="5"/>
      <c r="AZ16" s="5"/>
      <c r="BA16" s="40"/>
      <c r="BB16" s="41"/>
      <c r="BC16" s="42"/>
      <c r="BD16" s="35"/>
      <c r="BE16" s="43">
        <f t="shared" si="0"/>
        <v>0</v>
      </c>
      <c r="BF16" s="35"/>
      <c r="BG16" s="44">
        <f t="shared" si="1"/>
        <v>0</v>
      </c>
      <c r="BJ16" s="40"/>
      <c r="BK16" s="49"/>
      <c r="BL16" s="42"/>
      <c r="BM16" s="42"/>
      <c r="BN16" s="35"/>
      <c r="BO16" s="35"/>
      <c r="BP16" s="53">
        <f t="shared" si="3"/>
        <v>0</v>
      </c>
      <c r="BQ16" s="53">
        <f t="shared" si="4"/>
        <v>0</v>
      </c>
      <c r="BR16" s="44">
        <f t="shared" si="5"/>
        <v>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</row>
    <row r="17" spans="2:111" ht="15" customHeight="1" x14ac:dyDescent="0.2">
      <c r="B17" s="81" t="s">
        <v>80</v>
      </c>
      <c r="C17" s="82">
        <v>1.5</v>
      </c>
      <c r="D17" s="83">
        <f>E17</f>
        <v>3</v>
      </c>
      <c r="E17" s="84">
        <f>R40</f>
        <v>3</v>
      </c>
      <c r="F17" s="85">
        <f>S40</f>
        <v>0</v>
      </c>
      <c r="L17" s="40"/>
      <c r="M17" s="49"/>
      <c r="N17" s="42"/>
      <c r="O17" s="42"/>
      <c r="P17" s="35"/>
      <c r="Q17" s="35"/>
      <c r="R17" s="50">
        <f t="shared" si="14"/>
        <v>0</v>
      </c>
      <c r="S17" s="50">
        <f t="shared" si="15"/>
        <v>0</v>
      </c>
      <c r="T17" s="51">
        <f t="shared" si="16"/>
        <v>0</v>
      </c>
      <c r="U17" s="5"/>
      <c r="W17" s="56"/>
      <c r="X17" s="57"/>
      <c r="Y17" s="35"/>
      <c r="Z17" s="35"/>
      <c r="AA17" s="36">
        <f t="shared" si="12"/>
        <v>0</v>
      </c>
      <c r="AB17" s="78"/>
      <c r="AC17" s="36">
        <f t="shared" si="13"/>
        <v>0</v>
      </c>
      <c r="AD17" s="38">
        <f>AC17*AB88/AE88</f>
        <v>0</v>
      </c>
      <c r="AE17" s="5"/>
      <c r="AF17" s="70"/>
      <c r="AG17" s="5"/>
      <c r="AH17" s="64"/>
      <c r="AI17" s="5"/>
      <c r="AJ17" s="5"/>
      <c r="AK17" s="5"/>
      <c r="AL17" s="56"/>
      <c r="AM17" s="57"/>
      <c r="AN17" s="35"/>
      <c r="AO17" s="35"/>
      <c r="AP17" s="36"/>
      <c r="AQ17" s="78"/>
      <c r="AR17" s="36"/>
      <c r="AS17" s="38"/>
      <c r="AT17" s="5"/>
      <c r="AU17" s="5"/>
      <c r="AV17" s="5"/>
      <c r="AW17" s="5"/>
      <c r="AX17" s="5"/>
      <c r="AY17" s="5"/>
      <c r="AZ17" s="5"/>
      <c r="BA17" s="40"/>
      <c r="BB17" s="41"/>
      <c r="BC17" s="42"/>
      <c r="BD17" s="35"/>
      <c r="BE17" s="43">
        <f t="shared" si="0"/>
        <v>0</v>
      </c>
      <c r="BF17" s="35"/>
      <c r="BG17" s="44">
        <f t="shared" si="1"/>
        <v>0</v>
      </c>
      <c r="BJ17" s="40"/>
      <c r="BK17" s="49"/>
      <c r="BL17" s="42"/>
      <c r="BM17" s="42"/>
      <c r="BN17" s="35"/>
      <c r="BO17" s="35"/>
      <c r="BP17" s="53">
        <f t="shared" si="3"/>
        <v>0</v>
      </c>
      <c r="BQ17" s="53">
        <f t="shared" si="4"/>
        <v>0</v>
      </c>
      <c r="BR17" s="44">
        <f t="shared" si="5"/>
        <v>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</row>
    <row r="18" spans="2:111" ht="15" customHeight="1" x14ac:dyDescent="0.25">
      <c r="B18" s="93" t="s">
        <v>81</v>
      </c>
      <c r="C18" s="94">
        <v>2</v>
      </c>
      <c r="D18" s="73">
        <f t="shared" ref="D18:D53" si="17">E18+F18</f>
        <v>2575.6815254897879</v>
      </c>
      <c r="E18" s="95">
        <f>E19+E22+E28+E32+E38+E45+E51</f>
        <v>2575.6815254897879</v>
      </c>
      <c r="F18" s="96">
        <f>F19+F22+F28+F32+F38+F45+F51</f>
        <v>0</v>
      </c>
      <c r="L18" s="40"/>
      <c r="M18" s="49"/>
      <c r="N18" s="42"/>
      <c r="O18" s="42"/>
      <c r="P18" s="35"/>
      <c r="Q18" s="35"/>
      <c r="R18" s="50">
        <f t="shared" si="14"/>
        <v>0</v>
      </c>
      <c r="S18" s="50">
        <f t="shared" si="15"/>
        <v>0</v>
      </c>
      <c r="T18" s="51">
        <f t="shared" si="16"/>
        <v>0</v>
      </c>
      <c r="U18" s="5"/>
      <c r="W18" s="56"/>
      <c r="X18" s="57"/>
      <c r="Y18" s="35"/>
      <c r="Z18" s="35"/>
      <c r="AA18" s="36">
        <f t="shared" si="12"/>
        <v>0</v>
      </c>
      <c r="AB18" s="78"/>
      <c r="AC18" s="36">
        <f t="shared" si="13"/>
        <v>0</v>
      </c>
      <c r="AD18" s="38">
        <f>AC18*AB88/AE88</f>
        <v>0</v>
      </c>
      <c r="AE18" s="5"/>
      <c r="AF18" s="70"/>
      <c r="AG18" s="5"/>
      <c r="AH18" s="64"/>
      <c r="AI18" s="5"/>
      <c r="AJ18" s="5"/>
      <c r="AK18" s="5"/>
      <c r="AL18" s="56"/>
      <c r="AM18" s="57"/>
      <c r="AN18" s="35"/>
      <c r="AO18" s="35"/>
      <c r="AP18" s="36">
        <f t="shared" ref="AP18:AP36" si="18">AN18-AO18</f>
        <v>0</v>
      </c>
      <c r="AQ18" s="78"/>
      <c r="AR18" s="36">
        <f t="shared" ref="AR18:AR35" si="19">AP18*AQ18%</f>
        <v>0</v>
      </c>
      <c r="AS18" s="38">
        <f>AR18*AB88/AE88</f>
        <v>0</v>
      </c>
      <c r="AT18" s="5"/>
      <c r="AU18" s="5"/>
      <c r="AV18" s="5"/>
      <c r="AW18" s="5"/>
      <c r="AX18" s="5"/>
      <c r="AY18" s="5"/>
      <c r="AZ18" s="5"/>
      <c r="BA18" s="40"/>
      <c r="BB18" s="41"/>
      <c r="BC18" s="42"/>
      <c r="BD18" s="35"/>
      <c r="BE18" s="43">
        <f t="shared" si="0"/>
        <v>0</v>
      </c>
      <c r="BF18" s="35"/>
      <c r="BG18" s="44">
        <f t="shared" si="1"/>
        <v>0</v>
      </c>
      <c r="BJ18" s="40"/>
      <c r="BK18" s="49"/>
      <c r="BL18" s="42"/>
      <c r="BM18" s="42"/>
      <c r="BN18" s="35"/>
      <c r="BO18" s="35"/>
      <c r="BP18" s="53">
        <f t="shared" si="3"/>
        <v>0</v>
      </c>
      <c r="BQ18" s="53">
        <f t="shared" si="4"/>
        <v>0</v>
      </c>
      <c r="BR18" s="44">
        <f t="shared" si="5"/>
        <v>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J18" s="206" t="s">
        <v>82</v>
      </c>
      <c r="CK18" s="206"/>
      <c r="CL18" s="206"/>
      <c r="CM18" s="206"/>
      <c r="CN18" s="206"/>
      <c r="CO18" s="206"/>
      <c r="CP18" s="206"/>
      <c r="CQ18" s="206"/>
      <c r="CR18" s="5"/>
      <c r="CS18" s="5"/>
      <c r="DG18" s="5"/>
    </row>
    <row r="19" spans="2:111" ht="15" customHeight="1" x14ac:dyDescent="0.25">
      <c r="B19" s="93" t="s">
        <v>83</v>
      </c>
      <c r="C19" s="94">
        <v>3</v>
      </c>
      <c r="D19" s="73">
        <f t="shared" si="17"/>
        <v>7.8111916874999991</v>
      </c>
      <c r="E19" s="95">
        <f>E20+E21</f>
        <v>7.8111916874999991</v>
      </c>
      <c r="F19" s="96">
        <f>F20+F21</f>
        <v>0</v>
      </c>
      <c r="L19" s="40"/>
      <c r="M19" s="49"/>
      <c r="N19" s="42"/>
      <c r="O19" s="42"/>
      <c r="P19" s="35"/>
      <c r="Q19" s="35"/>
      <c r="R19" s="50">
        <f t="shared" si="14"/>
        <v>0</v>
      </c>
      <c r="S19" s="50">
        <f t="shared" si="15"/>
        <v>0</v>
      </c>
      <c r="T19" s="51">
        <f t="shared" si="16"/>
        <v>0</v>
      </c>
      <c r="U19" s="5"/>
      <c r="W19" s="56"/>
      <c r="X19" s="57"/>
      <c r="Y19" s="35"/>
      <c r="Z19" s="35"/>
      <c r="AA19" s="36">
        <f t="shared" si="12"/>
        <v>0</v>
      </c>
      <c r="AB19" s="78"/>
      <c r="AC19" s="36">
        <f t="shared" si="13"/>
        <v>0</v>
      </c>
      <c r="AD19" s="38">
        <f>AC19*AB88/AE88</f>
        <v>0</v>
      </c>
      <c r="AE19" s="5"/>
      <c r="AF19" s="70"/>
      <c r="AG19" s="5"/>
      <c r="AH19" s="64"/>
      <c r="AI19" s="5"/>
      <c r="AJ19" s="5"/>
      <c r="AK19" s="5"/>
      <c r="AL19" s="56"/>
      <c r="AM19" s="57"/>
      <c r="AN19" s="35"/>
      <c r="AO19" s="35"/>
      <c r="AP19" s="36">
        <f t="shared" si="18"/>
        <v>0</v>
      </c>
      <c r="AQ19" s="78"/>
      <c r="AR19" s="36">
        <f t="shared" si="19"/>
        <v>0</v>
      </c>
      <c r="AS19" s="38">
        <f>AR19*AB88/AE88</f>
        <v>0</v>
      </c>
      <c r="AT19" s="5"/>
      <c r="AU19" s="5"/>
      <c r="AV19" s="5"/>
      <c r="AW19" s="5"/>
      <c r="AX19" s="5"/>
      <c r="AY19" s="5"/>
      <c r="AZ19" s="5"/>
      <c r="BA19" s="40"/>
      <c r="BB19" s="41"/>
      <c r="BC19" s="42"/>
      <c r="BD19" s="35"/>
      <c r="BE19" s="43">
        <f t="shared" si="0"/>
        <v>0</v>
      </c>
      <c r="BF19" s="35"/>
      <c r="BG19" s="44">
        <f t="shared" si="1"/>
        <v>0</v>
      </c>
      <c r="BJ19" s="40"/>
      <c r="BK19" s="49"/>
      <c r="BL19" s="42"/>
      <c r="BM19" s="42"/>
      <c r="BN19" s="35"/>
      <c r="BO19" s="35"/>
      <c r="BP19" s="53">
        <f t="shared" si="3"/>
        <v>0</v>
      </c>
      <c r="BQ19" s="53">
        <f t="shared" si="4"/>
        <v>0</v>
      </c>
      <c r="BR19" s="44">
        <f t="shared" si="5"/>
        <v>0</v>
      </c>
      <c r="BU19" s="206" t="s">
        <v>82</v>
      </c>
      <c r="BV19" s="206"/>
      <c r="BW19" s="206"/>
      <c r="BX19" s="206"/>
      <c r="BY19" s="206"/>
      <c r="BZ19" s="206"/>
      <c r="CA19" s="206"/>
      <c r="CB19" s="206"/>
      <c r="CC19" s="5"/>
      <c r="CD19" s="5"/>
      <c r="CE19" s="5"/>
      <c r="CF19" s="5"/>
      <c r="CJ19" s="8"/>
      <c r="CK19" s="5"/>
      <c r="CL19" s="5"/>
      <c r="CM19" s="9"/>
      <c r="CN19" s="9"/>
      <c r="CO19" s="5"/>
      <c r="CP19" s="5"/>
      <c r="CQ19" s="5"/>
      <c r="CR19" s="5"/>
      <c r="CS19" s="5"/>
      <c r="DG19" s="5"/>
    </row>
    <row r="20" spans="2:111" ht="15" customHeight="1" x14ac:dyDescent="0.2">
      <c r="B20" s="81" t="s">
        <v>84</v>
      </c>
      <c r="C20" s="82">
        <v>3.2</v>
      </c>
      <c r="D20" s="73">
        <f t="shared" si="17"/>
        <v>7.8111916874999991</v>
      </c>
      <c r="E20" s="84">
        <f>(AD37+AH80)*D10</f>
        <v>7.8111916874999991</v>
      </c>
      <c r="F20" s="85">
        <f>AI80*D10</f>
        <v>0</v>
      </c>
      <c r="L20" s="40"/>
      <c r="M20" s="49"/>
      <c r="N20" s="42"/>
      <c r="O20" s="42"/>
      <c r="P20" s="35"/>
      <c r="Q20" s="35"/>
      <c r="R20" s="50">
        <f t="shared" si="14"/>
        <v>0</v>
      </c>
      <c r="S20" s="50">
        <f t="shared" si="15"/>
        <v>0</v>
      </c>
      <c r="T20" s="51">
        <f t="shared" si="16"/>
        <v>0</v>
      </c>
      <c r="U20" s="5"/>
      <c r="W20" s="56"/>
      <c r="X20" s="57"/>
      <c r="Y20" s="35"/>
      <c r="Z20" s="35"/>
      <c r="AA20" s="36">
        <f t="shared" si="12"/>
        <v>0</v>
      </c>
      <c r="AB20" s="78"/>
      <c r="AC20" s="36">
        <f t="shared" si="13"/>
        <v>0</v>
      </c>
      <c r="AD20" s="38">
        <f>AC20*AB88/AE88</f>
        <v>0</v>
      </c>
      <c r="AE20" s="5"/>
      <c r="AF20" s="70"/>
      <c r="AG20" s="5"/>
      <c r="AH20" s="64"/>
      <c r="AI20" s="5"/>
      <c r="AJ20" s="5"/>
      <c r="AK20" s="5"/>
      <c r="AL20" s="56"/>
      <c r="AM20" s="57"/>
      <c r="AN20" s="35"/>
      <c r="AO20" s="35"/>
      <c r="AP20" s="36">
        <f t="shared" si="18"/>
        <v>0</v>
      </c>
      <c r="AQ20" s="78"/>
      <c r="AR20" s="36">
        <f t="shared" si="19"/>
        <v>0</v>
      </c>
      <c r="AS20" s="38">
        <f>AR20*AB88/AE88</f>
        <v>0</v>
      </c>
      <c r="AT20" s="5"/>
      <c r="AU20" s="5"/>
      <c r="AV20" s="5"/>
      <c r="AW20" s="5"/>
      <c r="AX20" s="5"/>
      <c r="AY20" s="5"/>
      <c r="AZ20" s="5"/>
      <c r="BA20" s="40"/>
      <c r="BB20" s="41"/>
      <c r="BC20" s="42"/>
      <c r="BD20" s="35"/>
      <c r="BE20" s="43">
        <f t="shared" si="0"/>
        <v>0</v>
      </c>
      <c r="BF20" s="35"/>
      <c r="BG20" s="44">
        <f t="shared" si="1"/>
        <v>0</v>
      </c>
      <c r="BJ20" s="40"/>
      <c r="BK20" s="49"/>
      <c r="BL20" s="42"/>
      <c r="BM20" s="42"/>
      <c r="BN20" s="35"/>
      <c r="BO20" s="35"/>
      <c r="BP20" s="53">
        <f t="shared" si="3"/>
        <v>0</v>
      </c>
      <c r="BQ20" s="53">
        <f t="shared" si="4"/>
        <v>0</v>
      </c>
      <c r="BR20" s="44">
        <f t="shared" si="5"/>
        <v>0</v>
      </c>
      <c r="BU20" s="8"/>
      <c r="BV20" s="5"/>
      <c r="BW20" s="5"/>
      <c r="BX20" s="9"/>
      <c r="BY20" s="9"/>
      <c r="BZ20" s="5"/>
      <c r="CA20" s="5"/>
      <c r="CB20" s="5"/>
      <c r="CC20" s="5"/>
      <c r="CD20" s="5"/>
      <c r="CE20" s="5"/>
      <c r="CF20" s="5"/>
      <c r="CJ20" s="15" t="s">
        <v>85</v>
      </c>
      <c r="CK20" s="16" t="s">
        <v>23</v>
      </c>
      <c r="CL20" s="17" t="s">
        <v>24</v>
      </c>
      <c r="CM20" s="16" t="s">
        <v>25</v>
      </c>
      <c r="CN20" s="16" t="s">
        <v>86</v>
      </c>
      <c r="CO20" s="16" t="s">
        <v>27</v>
      </c>
      <c r="CP20" s="16" t="s">
        <v>28</v>
      </c>
      <c r="CQ20" s="18" t="s">
        <v>29</v>
      </c>
      <c r="CR20" s="5"/>
      <c r="CS20" s="5"/>
      <c r="DG20" s="5"/>
    </row>
    <row r="21" spans="2:111" ht="25.5" customHeight="1" x14ac:dyDescent="0.2">
      <c r="B21" s="97" t="s">
        <v>87</v>
      </c>
      <c r="C21" s="98">
        <v>3.3</v>
      </c>
      <c r="D21" s="99">
        <f t="shared" si="17"/>
        <v>0</v>
      </c>
      <c r="E21" s="100"/>
      <c r="F21" s="101">
        <f>CU15*D10</f>
        <v>0</v>
      </c>
      <c r="L21" s="40"/>
      <c r="M21" s="49"/>
      <c r="N21" s="42"/>
      <c r="O21" s="42"/>
      <c r="P21" s="35"/>
      <c r="Q21" s="35"/>
      <c r="R21" s="50">
        <f t="shared" si="14"/>
        <v>0</v>
      </c>
      <c r="S21" s="50">
        <f t="shared" si="15"/>
        <v>0</v>
      </c>
      <c r="T21" s="51">
        <f t="shared" si="16"/>
        <v>0</v>
      </c>
      <c r="U21" s="5"/>
      <c r="W21" s="56"/>
      <c r="X21" s="57"/>
      <c r="Y21" s="35"/>
      <c r="Z21" s="35"/>
      <c r="AA21" s="36">
        <f t="shared" si="12"/>
        <v>0</v>
      </c>
      <c r="AB21" s="78"/>
      <c r="AC21" s="36">
        <f t="shared" si="13"/>
        <v>0</v>
      </c>
      <c r="AD21" s="38">
        <f>AC21*AB88/AE88</f>
        <v>0</v>
      </c>
      <c r="AE21" s="5"/>
      <c r="AF21" s="70"/>
      <c r="AG21" s="5"/>
      <c r="AH21" s="64"/>
      <c r="AI21" s="5"/>
      <c r="AJ21" s="5"/>
      <c r="AK21" s="5"/>
      <c r="AL21" s="56"/>
      <c r="AM21" s="57"/>
      <c r="AN21" s="35"/>
      <c r="AO21" s="35"/>
      <c r="AP21" s="36">
        <f t="shared" si="18"/>
        <v>0</v>
      </c>
      <c r="AQ21" s="78"/>
      <c r="AR21" s="36">
        <f t="shared" si="19"/>
        <v>0</v>
      </c>
      <c r="AS21" s="38">
        <f>AR21*AB88/AE88</f>
        <v>0</v>
      </c>
      <c r="AT21" s="5"/>
      <c r="AU21" s="5"/>
      <c r="AV21" s="5"/>
      <c r="AW21" s="5"/>
      <c r="AX21" s="5"/>
      <c r="AY21" s="5"/>
      <c r="AZ21" s="5"/>
      <c r="BA21" s="40"/>
      <c r="BB21" s="41"/>
      <c r="BC21" s="42"/>
      <c r="BD21" s="35"/>
      <c r="BE21" s="43">
        <f t="shared" si="0"/>
        <v>0</v>
      </c>
      <c r="BF21" s="35"/>
      <c r="BG21" s="44">
        <f t="shared" si="1"/>
        <v>0</v>
      </c>
      <c r="BJ21" s="40"/>
      <c r="BK21" s="49"/>
      <c r="BL21" s="42"/>
      <c r="BM21" s="42"/>
      <c r="BN21" s="35"/>
      <c r="BO21" s="35"/>
      <c r="BP21" s="53">
        <f t="shared" si="3"/>
        <v>0</v>
      </c>
      <c r="BQ21" s="53">
        <f t="shared" si="4"/>
        <v>0</v>
      </c>
      <c r="BR21" s="44">
        <f t="shared" si="5"/>
        <v>0</v>
      </c>
      <c r="BU21" s="15" t="s">
        <v>22</v>
      </c>
      <c r="BV21" s="16" t="s">
        <v>23</v>
      </c>
      <c r="BW21" s="17" t="s">
        <v>24</v>
      </c>
      <c r="BX21" s="20" t="s">
        <v>88</v>
      </c>
      <c r="BY21" s="16" t="s">
        <v>26</v>
      </c>
      <c r="BZ21" s="16" t="s">
        <v>27</v>
      </c>
      <c r="CA21" s="16" t="s">
        <v>28</v>
      </c>
      <c r="CB21" s="18" t="s">
        <v>29</v>
      </c>
      <c r="CC21" s="5"/>
      <c r="CD21" s="5"/>
      <c r="CE21" s="5"/>
      <c r="CF21" s="5"/>
      <c r="CJ21" s="32"/>
      <c r="CK21" s="33"/>
      <c r="CL21" s="34"/>
      <c r="CM21" s="35"/>
      <c r="CN21" s="36">
        <f t="shared" ref="CN21:CN40" si="20">CL21-CM21</f>
        <v>0</v>
      </c>
      <c r="CO21" s="102">
        <v>6</v>
      </c>
      <c r="CP21" s="36">
        <f t="shared" ref="CP21:CP39" si="21">CN21*CO21%</f>
        <v>0</v>
      </c>
      <c r="CQ21" s="38">
        <f>CP21*AB88/AE88</f>
        <v>0</v>
      </c>
      <c r="CR21" s="5"/>
      <c r="CS21" s="5"/>
      <c r="DG21" s="5"/>
    </row>
    <row r="22" spans="2:111" ht="15" customHeight="1" x14ac:dyDescent="0.2">
      <c r="B22" s="93" t="s">
        <v>89</v>
      </c>
      <c r="C22" s="94">
        <v>4</v>
      </c>
      <c r="D22" s="73">
        <f t="shared" si="17"/>
        <v>1167.6728029380902</v>
      </c>
      <c r="E22" s="95">
        <f>SUM(E23:E27)</f>
        <v>1167.6728029380902</v>
      </c>
      <c r="F22" s="96">
        <f>SUM(F23:F27)</f>
        <v>0</v>
      </c>
      <c r="L22" s="40"/>
      <c r="M22" s="49"/>
      <c r="N22" s="42"/>
      <c r="O22" s="42"/>
      <c r="P22" s="35"/>
      <c r="Q22" s="35"/>
      <c r="R22" s="50">
        <f t="shared" si="14"/>
        <v>0</v>
      </c>
      <c r="S22" s="50">
        <f t="shared" si="15"/>
        <v>0</v>
      </c>
      <c r="T22" s="51">
        <f t="shared" si="16"/>
        <v>0</v>
      </c>
      <c r="U22" s="5"/>
      <c r="W22" s="56"/>
      <c r="X22" s="57"/>
      <c r="Y22" s="35"/>
      <c r="Z22" s="35"/>
      <c r="AA22" s="36">
        <f t="shared" si="12"/>
        <v>0</v>
      </c>
      <c r="AB22" s="78"/>
      <c r="AC22" s="36">
        <f t="shared" si="13"/>
        <v>0</v>
      </c>
      <c r="AD22" s="38">
        <f>AC22*AB88/AE88</f>
        <v>0</v>
      </c>
      <c r="AE22" s="5"/>
      <c r="AF22" s="70"/>
      <c r="AG22" s="5"/>
      <c r="AH22" s="64"/>
      <c r="AI22" s="5"/>
      <c r="AJ22" s="5"/>
      <c r="AK22" s="5"/>
      <c r="AL22" s="56"/>
      <c r="AM22" s="57"/>
      <c r="AN22" s="35"/>
      <c r="AO22" s="35"/>
      <c r="AP22" s="36">
        <f t="shared" si="18"/>
        <v>0</v>
      </c>
      <c r="AQ22" s="78"/>
      <c r="AR22" s="36">
        <f t="shared" si="19"/>
        <v>0</v>
      </c>
      <c r="AS22" s="38">
        <f>AR22*AB88/AE88</f>
        <v>0</v>
      </c>
      <c r="AT22" s="5"/>
      <c r="AU22" s="5"/>
      <c r="AV22" s="5"/>
      <c r="AW22" s="5"/>
      <c r="AX22" s="5"/>
      <c r="AY22" s="5"/>
      <c r="AZ22" s="5"/>
      <c r="BA22" s="40"/>
      <c r="BB22" s="41"/>
      <c r="BC22" s="42"/>
      <c r="BD22" s="35"/>
      <c r="BE22" s="43">
        <f t="shared" si="0"/>
        <v>0</v>
      </c>
      <c r="BF22" s="35"/>
      <c r="BG22" s="44">
        <f t="shared" si="1"/>
        <v>0</v>
      </c>
      <c r="BJ22" s="40"/>
      <c r="BK22" s="49"/>
      <c r="BL22" s="42"/>
      <c r="BM22" s="42"/>
      <c r="BN22" s="35"/>
      <c r="BO22" s="35"/>
      <c r="BP22" s="53">
        <f t="shared" si="3"/>
        <v>0</v>
      </c>
      <c r="BQ22" s="53">
        <f t="shared" si="4"/>
        <v>0</v>
      </c>
      <c r="BR22" s="44">
        <f t="shared" si="5"/>
        <v>0</v>
      </c>
      <c r="BU22" s="32"/>
      <c r="BV22" s="33"/>
      <c r="BW22" s="34"/>
      <c r="BX22" s="35"/>
      <c r="BY22" s="36">
        <f t="shared" ref="BY22:BY41" si="22">BW22-BX22</f>
        <v>0</v>
      </c>
      <c r="BZ22" s="37"/>
      <c r="CA22" s="36">
        <f t="shared" ref="CA22:CA40" si="23">BY22*BZ22%</f>
        <v>0</v>
      </c>
      <c r="CB22" s="38">
        <f>CA22*AB88/AE88</f>
        <v>0</v>
      </c>
      <c r="CC22" s="5"/>
      <c r="CD22" s="5"/>
      <c r="CE22" s="5"/>
      <c r="CF22" s="5"/>
      <c r="CJ22" s="32"/>
      <c r="CK22" s="33"/>
      <c r="CL22" s="34"/>
      <c r="CM22" s="35"/>
      <c r="CN22" s="36">
        <f t="shared" si="20"/>
        <v>0</v>
      </c>
      <c r="CO22" s="102"/>
      <c r="CP22" s="36">
        <f t="shared" si="21"/>
        <v>0</v>
      </c>
      <c r="CQ22" s="38">
        <f>CP22*AB88/AE88</f>
        <v>0</v>
      </c>
      <c r="CR22" s="5"/>
      <c r="CS22" s="5"/>
      <c r="DG22" s="5"/>
    </row>
    <row r="23" spans="2:111" ht="15" customHeight="1" x14ac:dyDescent="0.2">
      <c r="B23" s="81" t="s">
        <v>90</v>
      </c>
      <c r="C23" s="82">
        <v>4.0999999999999996</v>
      </c>
      <c r="D23" s="83">
        <f t="shared" si="17"/>
        <v>899.47534102833151</v>
      </c>
      <c r="E23" s="84">
        <f>BG36</f>
        <v>899.47534102833151</v>
      </c>
      <c r="F23" s="103"/>
      <c r="L23" s="40"/>
      <c r="M23" s="49"/>
      <c r="N23" s="42"/>
      <c r="O23" s="42"/>
      <c r="P23" s="35"/>
      <c r="Q23" s="35"/>
      <c r="R23" s="50">
        <f t="shared" si="14"/>
        <v>0</v>
      </c>
      <c r="S23" s="50">
        <f t="shared" si="15"/>
        <v>0</v>
      </c>
      <c r="T23" s="51">
        <f t="shared" si="16"/>
        <v>0</v>
      </c>
      <c r="U23" s="5"/>
      <c r="W23" s="56"/>
      <c r="X23" s="57"/>
      <c r="Y23" s="35"/>
      <c r="Z23" s="35"/>
      <c r="AA23" s="36">
        <f t="shared" si="12"/>
        <v>0</v>
      </c>
      <c r="AB23" s="78"/>
      <c r="AC23" s="36">
        <f t="shared" si="13"/>
        <v>0</v>
      </c>
      <c r="AD23" s="38">
        <f>AC23*AB88/AE88</f>
        <v>0</v>
      </c>
      <c r="AE23" s="5"/>
      <c r="AF23" s="70"/>
      <c r="AG23" s="5"/>
      <c r="AH23" s="64"/>
      <c r="AI23" s="5"/>
      <c r="AJ23" s="5"/>
      <c r="AK23" s="5"/>
      <c r="AL23" s="56"/>
      <c r="AM23" s="57"/>
      <c r="AN23" s="35"/>
      <c r="AO23" s="35"/>
      <c r="AP23" s="36">
        <f t="shared" si="18"/>
        <v>0</v>
      </c>
      <c r="AQ23" s="78"/>
      <c r="AR23" s="36">
        <f t="shared" si="19"/>
        <v>0</v>
      </c>
      <c r="AS23" s="38">
        <f>AR23*AB88/AE88</f>
        <v>0</v>
      </c>
      <c r="AT23" s="5"/>
      <c r="AU23" s="5"/>
      <c r="AV23" s="5"/>
      <c r="AW23" s="5"/>
      <c r="AX23" s="5"/>
      <c r="AY23" s="5"/>
      <c r="AZ23" s="5"/>
      <c r="BA23" s="40"/>
      <c r="BB23" s="41"/>
      <c r="BC23" s="42"/>
      <c r="BD23" s="35"/>
      <c r="BE23" s="43">
        <f t="shared" si="0"/>
        <v>0</v>
      </c>
      <c r="BF23" s="35"/>
      <c r="BG23" s="44">
        <f t="shared" si="1"/>
        <v>0</v>
      </c>
      <c r="BJ23" s="40"/>
      <c r="BK23" s="49"/>
      <c r="BL23" s="42"/>
      <c r="BM23" s="42"/>
      <c r="BN23" s="35"/>
      <c r="BO23" s="35"/>
      <c r="BP23" s="53">
        <f t="shared" si="3"/>
        <v>0</v>
      </c>
      <c r="BQ23" s="53">
        <f t="shared" si="4"/>
        <v>0</v>
      </c>
      <c r="BR23" s="44">
        <f t="shared" si="5"/>
        <v>0</v>
      </c>
      <c r="BU23" s="32"/>
      <c r="BV23" s="33"/>
      <c r="BW23" s="34"/>
      <c r="BX23" s="35"/>
      <c r="BY23" s="36">
        <f t="shared" si="22"/>
        <v>0</v>
      </c>
      <c r="BZ23" s="37"/>
      <c r="CA23" s="36">
        <f t="shared" si="23"/>
        <v>0</v>
      </c>
      <c r="CB23" s="38">
        <f>CA23*AB88/AE88</f>
        <v>0</v>
      </c>
      <c r="CC23" s="5"/>
      <c r="CD23" s="5"/>
      <c r="CE23" s="5"/>
      <c r="CF23" s="5"/>
      <c r="CJ23" s="56"/>
      <c r="CK23" s="57"/>
      <c r="CL23" s="35"/>
      <c r="CM23" s="35"/>
      <c r="CN23" s="36">
        <f t="shared" si="20"/>
        <v>0</v>
      </c>
      <c r="CO23" s="104"/>
      <c r="CP23" s="36">
        <f t="shared" si="21"/>
        <v>0</v>
      </c>
      <c r="CQ23" s="38">
        <f>CP23*AB88/AE88</f>
        <v>0</v>
      </c>
      <c r="CR23" s="5"/>
      <c r="CS23" s="5"/>
      <c r="DG23" s="5"/>
    </row>
    <row r="24" spans="2:111" ht="15" customHeight="1" x14ac:dyDescent="0.2">
      <c r="B24" s="105" t="s">
        <v>91</v>
      </c>
      <c r="C24" s="82">
        <v>4.2</v>
      </c>
      <c r="D24" s="83">
        <f t="shared" si="17"/>
        <v>81.762308499475324</v>
      </c>
      <c r="E24" s="84">
        <f>E23*I24%</f>
        <v>81.762308499475324</v>
      </c>
      <c r="F24" s="106"/>
      <c r="H24" s="1" t="s">
        <v>92</v>
      </c>
      <c r="I24" s="107">
        <v>9.09</v>
      </c>
      <c r="L24" s="40"/>
      <c r="M24" s="49"/>
      <c r="N24" s="42"/>
      <c r="O24" s="42"/>
      <c r="P24" s="35"/>
      <c r="Q24" s="35"/>
      <c r="R24" s="50">
        <f t="shared" si="14"/>
        <v>0</v>
      </c>
      <c r="S24" s="50">
        <f t="shared" si="15"/>
        <v>0</v>
      </c>
      <c r="T24" s="51">
        <f t="shared" si="16"/>
        <v>0</v>
      </c>
      <c r="U24" s="5"/>
      <c r="W24" s="56"/>
      <c r="X24" s="57"/>
      <c r="Y24" s="35"/>
      <c r="Z24" s="35"/>
      <c r="AA24" s="36">
        <f t="shared" si="12"/>
        <v>0</v>
      </c>
      <c r="AB24" s="78"/>
      <c r="AC24" s="36">
        <f t="shared" si="13"/>
        <v>0</v>
      </c>
      <c r="AD24" s="38">
        <f>AC24*AB88/AE88</f>
        <v>0</v>
      </c>
      <c r="AE24" s="5"/>
      <c r="AF24" s="70"/>
      <c r="AG24" s="5"/>
      <c r="AH24" s="64"/>
      <c r="AI24" s="5"/>
      <c r="AJ24" s="5"/>
      <c r="AK24" s="5"/>
      <c r="AL24" s="56"/>
      <c r="AM24" s="57"/>
      <c r="AN24" s="35"/>
      <c r="AO24" s="35"/>
      <c r="AP24" s="36">
        <f t="shared" si="18"/>
        <v>0</v>
      </c>
      <c r="AQ24" s="78"/>
      <c r="AR24" s="36">
        <f t="shared" si="19"/>
        <v>0</v>
      </c>
      <c r="AS24" s="38">
        <f>AR24*AB88/AE88</f>
        <v>0</v>
      </c>
      <c r="AT24" s="5"/>
      <c r="AU24" s="5"/>
      <c r="AV24" s="5"/>
      <c r="AW24" s="5"/>
      <c r="AX24" s="5"/>
      <c r="AY24" s="5"/>
      <c r="AZ24" s="5"/>
      <c r="BA24" s="40"/>
      <c r="BB24" s="41"/>
      <c r="BC24" s="42"/>
      <c r="BD24" s="35"/>
      <c r="BE24" s="43">
        <f t="shared" si="0"/>
        <v>0</v>
      </c>
      <c r="BF24" s="35"/>
      <c r="BG24" s="44">
        <f t="shared" si="1"/>
        <v>0</v>
      </c>
      <c r="BJ24" s="40"/>
      <c r="BK24" s="49"/>
      <c r="BL24" s="42"/>
      <c r="BM24" s="42"/>
      <c r="BN24" s="35"/>
      <c r="BO24" s="35"/>
      <c r="BP24" s="53">
        <f t="shared" si="3"/>
        <v>0</v>
      </c>
      <c r="BQ24" s="53">
        <f t="shared" si="4"/>
        <v>0</v>
      </c>
      <c r="BR24" s="44">
        <f t="shared" si="5"/>
        <v>0</v>
      </c>
      <c r="BU24" s="56"/>
      <c r="BV24" s="57"/>
      <c r="BW24" s="35"/>
      <c r="BX24" s="35"/>
      <c r="BY24" s="36">
        <f t="shared" si="22"/>
        <v>0</v>
      </c>
      <c r="BZ24" s="78"/>
      <c r="CA24" s="36">
        <f t="shared" si="23"/>
        <v>0</v>
      </c>
      <c r="CB24" s="38">
        <f>CA24*AB88/AE88</f>
        <v>0</v>
      </c>
      <c r="CC24" s="5"/>
      <c r="CD24" s="5"/>
      <c r="CE24" s="5"/>
      <c r="CF24" s="5"/>
      <c r="CJ24" s="56"/>
      <c r="CK24" s="57"/>
      <c r="CL24" s="35"/>
      <c r="CM24" s="35"/>
      <c r="CN24" s="36">
        <f t="shared" si="20"/>
        <v>0</v>
      </c>
      <c r="CO24" s="104"/>
      <c r="CP24" s="36">
        <f t="shared" si="21"/>
        <v>0</v>
      </c>
      <c r="CQ24" s="38">
        <f>CP24*AB88/AE88</f>
        <v>0</v>
      </c>
      <c r="CR24" s="5"/>
      <c r="CS24" s="5"/>
      <c r="DG24" s="5"/>
    </row>
    <row r="25" spans="2:111" ht="15" customHeight="1" x14ac:dyDescent="0.2">
      <c r="B25" s="105" t="s">
        <v>93</v>
      </c>
      <c r="C25" s="82">
        <v>4.3</v>
      </c>
      <c r="D25" s="83">
        <f t="shared" si="17"/>
        <v>49.061882476390345</v>
      </c>
      <c r="E25" s="84">
        <f>(E23+E24)*I25%</f>
        <v>49.061882476390345</v>
      </c>
      <c r="F25" s="106"/>
      <c r="H25" s="1" t="s">
        <v>92</v>
      </c>
      <c r="I25" s="107">
        <v>5</v>
      </c>
      <c r="L25" s="40"/>
      <c r="M25" s="49"/>
      <c r="N25" s="42"/>
      <c r="O25" s="42"/>
      <c r="P25" s="35"/>
      <c r="Q25" s="35"/>
      <c r="R25" s="50">
        <f t="shared" si="14"/>
        <v>0</v>
      </c>
      <c r="S25" s="50">
        <f t="shared" si="15"/>
        <v>0</v>
      </c>
      <c r="T25" s="51">
        <f t="shared" si="16"/>
        <v>0</v>
      </c>
      <c r="U25" s="5"/>
      <c r="W25" s="56"/>
      <c r="X25" s="57"/>
      <c r="Y25" s="35"/>
      <c r="Z25" s="35"/>
      <c r="AA25" s="36">
        <f t="shared" si="12"/>
        <v>0</v>
      </c>
      <c r="AB25" s="78"/>
      <c r="AC25" s="36">
        <f t="shared" si="13"/>
        <v>0</v>
      </c>
      <c r="AD25" s="38">
        <f>AC25*AB88/AE88</f>
        <v>0</v>
      </c>
      <c r="AE25" s="5"/>
      <c r="AF25" s="70"/>
      <c r="AG25" s="5"/>
      <c r="AH25" s="64"/>
      <c r="AI25" s="5"/>
      <c r="AJ25" s="5"/>
      <c r="AK25" s="5"/>
      <c r="AL25" s="56"/>
      <c r="AM25" s="57"/>
      <c r="AN25" s="35"/>
      <c r="AO25" s="35"/>
      <c r="AP25" s="36">
        <f t="shared" si="18"/>
        <v>0</v>
      </c>
      <c r="AQ25" s="78"/>
      <c r="AR25" s="36">
        <f t="shared" si="19"/>
        <v>0</v>
      </c>
      <c r="AS25" s="38">
        <f>AR25*AB88/AE88</f>
        <v>0</v>
      </c>
      <c r="AT25" s="5"/>
      <c r="AU25" s="5"/>
      <c r="AV25" s="5"/>
      <c r="AW25" s="5"/>
      <c r="AX25" s="5"/>
      <c r="AY25" s="5"/>
      <c r="AZ25" s="5"/>
      <c r="BA25" s="40"/>
      <c r="BB25" s="41"/>
      <c r="BC25" s="42"/>
      <c r="BD25" s="35"/>
      <c r="BE25" s="43">
        <f t="shared" si="0"/>
        <v>0</v>
      </c>
      <c r="BF25" s="35"/>
      <c r="BG25" s="44">
        <f t="shared" si="1"/>
        <v>0</v>
      </c>
      <c r="BJ25" s="40"/>
      <c r="BK25" s="49"/>
      <c r="BL25" s="42"/>
      <c r="BM25" s="42"/>
      <c r="BN25" s="35"/>
      <c r="BO25" s="35"/>
      <c r="BP25" s="53">
        <f t="shared" si="3"/>
        <v>0</v>
      </c>
      <c r="BQ25" s="53">
        <f t="shared" si="4"/>
        <v>0</v>
      </c>
      <c r="BR25" s="44">
        <f t="shared" si="5"/>
        <v>0</v>
      </c>
      <c r="BU25" s="56"/>
      <c r="BV25" s="57"/>
      <c r="BW25" s="35"/>
      <c r="BX25" s="35"/>
      <c r="BY25" s="36">
        <f t="shared" si="22"/>
        <v>0</v>
      </c>
      <c r="BZ25" s="78"/>
      <c r="CA25" s="36">
        <f t="shared" si="23"/>
        <v>0</v>
      </c>
      <c r="CB25" s="38">
        <f>CA25*AB88/AE88</f>
        <v>0</v>
      </c>
      <c r="CC25" s="5"/>
      <c r="CD25" s="5"/>
      <c r="CE25" s="5"/>
      <c r="CF25" s="5"/>
      <c r="CJ25" s="56"/>
      <c r="CK25" s="57"/>
      <c r="CL25" s="35"/>
      <c r="CM25" s="35"/>
      <c r="CN25" s="36">
        <f t="shared" si="20"/>
        <v>0</v>
      </c>
      <c r="CO25" s="104"/>
      <c r="CP25" s="36">
        <f t="shared" si="21"/>
        <v>0</v>
      </c>
      <c r="CQ25" s="38">
        <f>CP25*AB88/AE88</f>
        <v>0</v>
      </c>
      <c r="CR25" s="5"/>
      <c r="CS25" s="5"/>
      <c r="DG25" s="5"/>
    </row>
    <row r="26" spans="2:111" ht="15" customHeight="1" x14ac:dyDescent="0.2">
      <c r="B26" s="105" t="s">
        <v>94</v>
      </c>
      <c r="C26" s="82">
        <v>4.4000000000000004</v>
      </c>
      <c r="D26" s="83">
        <f t="shared" si="17"/>
        <v>137.37327093389297</v>
      </c>
      <c r="E26" s="84">
        <f>(E23+E24)*I26%</f>
        <v>137.37327093389297</v>
      </c>
      <c r="F26" s="106"/>
      <c r="H26" s="1" t="s">
        <v>92</v>
      </c>
      <c r="I26" s="107">
        <v>14</v>
      </c>
      <c r="L26" s="40"/>
      <c r="M26" s="49"/>
      <c r="N26" s="42"/>
      <c r="O26" s="42"/>
      <c r="P26" s="35"/>
      <c r="Q26" s="35"/>
      <c r="R26" s="50">
        <f t="shared" si="14"/>
        <v>0</v>
      </c>
      <c r="S26" s="50">
        <f t="shared" si="15"/>
        <v>0</v>
      </c>
      <c r="T26" s="51">
        <f t="shared" si="16"/>
        <v>0</v>
      </c>
      <c r="U26" s="5"/>
      <c r="W26" s="56"/>
      <c r="X26" s="57"/>
      <c r="Y26" s="35"/>
      <c r="Z26" s="35"/>
      <c r="AA26" s="36">
        <f t="shared" si="12"/>
        <v>0</v>
      </c>
      <c r="AB26" s="78"/>
      <c r="AC26" s="36">
        <f t="shared" si="13"/>
        <v>0</v>
      </c>
      <c r="AD26" s="38">
        <f>AC26*AB88/AE88</f>
        <v>0</v>
      </c>
      <c r="AE26" s="5"/>
      <c r="AF26" s="70"/>
      <c r="AG26" s="5"/>
      <c r="AH26" s="64"/>
      <c r="AI26" s="5"/>
      <c r="AJ26" s="5"/>
      <c r="AK26" s="5"/>
      <c r="AL26" s="56"/>
      <c r="AM26" s="57"/>
      <c r="AN26" s="35"/>
      <c r="AO26" s="35"/>
      <c r="AP26" s="36">
        <f t="shared" si="18"/>
        <v>0</v>
      </c>
      <c r="AQ26" s="78"/>
      <c r="AR26" s="36">
        <f t="shared" si="19"/>
        <v>0</v>
      </c>
      <c r="AS26" s="38">
        <f>AR26*AB88/AE88</f>
        <v>0</v>
      </c>
      <c r="AT26" s="5"/>
      <c r="AU26" s="5"/>
      <c r="AV26" s="5"/>
      <c r="AW26" s="5"/>
      <c r="AX26" s="5"/>
      <c r="AY26" s="5"/>
      <c r="AZ26" s="5"/>
      <c r="BA26" s="40"/>
      <c r="BB26" s="41"/>
      <c r="BC26" s="42"/>
      <c r="BD26" s="35"/>
      <c r="BE26" s="43">
        <f t="shared" si="0"/>
        <v>0</v>
      </c>
      <c r="BF26" s="35"/>
      <c r="BG26" s="44">
        <f t="shared" si="1"/>
        <v>0</v>
      </c>
      <c r="BJ26" s="40"/>
      <c r="BK26" s="49"/>
      <c r="BL26" s="42"/>
      <c r="BM26" s="42"/>
      <c r="BN26" s="35"/>
      <c r="BO26" s="35"/>
      <c r="BP26" s="53">
        <f t="shared" si="3"/>
        <v>0</v>
      </c>
      <c r="BQ26" s="53">
        <f t="shared" si="4"/>
        <v>0</v>
      </c>
      <c r="BR26" s="44">
        <f t="shared" si="5"/>
        <v>0</v>
      </c>
      <c r="BU26" s="56"/>
      <c r="BV26" s="57"/>
      <c r="BW26" s="35"/>
      <c r="BX26" s="35"/>
      <c r="BY26" s="36">
        <f t="shared" si="22"/>
        <v>0</v>
      </c>
      <c r="BZ26" s="78"/>
      <c r="CA26" s="36">
        <f t="shared" si="23"/>
        <v>0</v>
      </c>
      <c r="CB26" s="38">
        <f>CA26*AB88/AE88</f>
        <v>0</v>
      </c>
      <c r="CC26" s="5"/>
      <c r="CD26" s="5"/>
      <c r="CE26" s="5"/>
      <c r="CF26" s="5"/>
      <c r="CJ26" s="56"/>
      <c r="CK26" s="57"/>
      <c r="CL26" s="35"/>
      <c r="CM26" s="35"/>
      <c r="CN26" s="36">
        <f t="shared" si="20"/>
        <v>0</v>
      </c>
      <c r="CO26" s="104"/>
      <c r="CP26" s="36">
        <f t="shared" si="21"/>
        <v>0</v>
      </c>
      <c r="CQ26" s="38">
        <f>CP26*AB88/AE88</f>
        <v>0</v>
      </c>
      <c r="CR26" s="5"/>
      <c r="CS26" s="5"/>
      <c r="DG26" s="5"/>
    </row>
    <row r="27" spans="2:111" ht="15" customHeight="1" x14ac:dyDescent="0.2">
      <c r="B27" s="105" t="s">
        <v>95</v>
      </c>
      <c r="C27" s="82">
        <v>4.5</v>
      </c>
      <c r="D27" s="73">
        <f t="shared" si="17"/>
        <v>0</v>
      </c>
      <c r="E27" s="84"/>
      <c r="F27" s="103"/>
      <c r="L27" s="40"/>
      <c r="M27" s="49"/>
      <c r="N27" s="42"/>
      <c r="O27" s="42"/>
      <c r="P27" s="35"/>
      <c r="Q27" s="35"/>
      <c r="R27" s="50">
        <f t="shared" si="14"/>
        <v>0</v>
      </c>
      <c r="S27" s="50">
        <f t="shared" si="15"/>
        <v>0</v>
      </c>
      <c r="T27" s="51">
        <f t="shared" si="16"/>
        <v>0</v>
      </c>
      <c r="U27" s="5"/>
      <c r="W27" s="56"/>
      <c r="X27" s="57"/>
      <c r="Y27" s="35"/>
      <c r="Z27" s="35"/>
      <c r="AA27" s="36">
        <f t="shared" si="12"/>
        <v>0</v>
      </c>
      <c r="AB27" s="78"/>
      <c r="AC27" s="36">
        <f t="shared" si="13"/>
        <v>0</v>
      </c>
      <c r="AD27" s="38">
        <f>AC27*AB88/AE88</f>
        <v>0</v>
      </c>
      <c r="AE27" s="5"/>
      <c r="AF27" s="70"/>
      <c r="AG27" s="5"/>
      <c r="AH27" s="64"/>
      <c r="AI27" s="5"/>
      <c r="AJ27" s="5"/>
      <c r="AK27" s="5"/>
      <c r="AL27" s="56"/>
      <c r="AM27" s="57"/>
      <c r="AN27" s="35"/>
      <c r="AO27" s="35"/>
      <c r="AP27" s="36">
        <f t="shared" si="18"/>
        <v>0</v>
      </c>
      <c r="AQ27" s="78"/>
      <c r="AR27" s="36">
        <f t="shared" si="19"/>
        <v>0</v>
      </c>
      <c r="AS27" s="38">
        <f>AR27*AB88/AE88</f>
        <v>0</v>
      </c>
      <c r="AT27" s="5"/>
      <c r="AU27" s="5"/>
      <c r="AV27" s="5"/>
      <c r="AW27" s="5"/>
      <c r="AX27" s="5"/>
      <c r="AY27" s="5"/>
      <c r="AZ27" s="5"/>
      <c r="BA27" s="40"/>
      <c r="BB27" s="41"/>
      <c r="BC27" s="42"/>
      <c r="BD27" s="35"/>
      <c r="BE27" s="43">
        <f t="shared" si="0"/>
        <v>0</v>
      </c>
      <c r="BF27" s="35"/>
      <c r="BG27" s="44">
        <f t="shared" si="1"/>
        <v>0</v>
      </c>
      <c r="BJ27" s="40"/>
      <c r="BK27" s="49"/>
      <c r="BL27" s="42"/>
      <c r="BM27" s="42"/>
      <c r="BN27" s="35"/>
      <c r="BO27" s="35"/>
      <c r="BP27" s="53">
        <f t="shared" si="3"/>
        <v>0</v>
      </c>
      <c r="BQ27" s="53">
        <f t="shared" si="4"/>
        <v>0</v>
      </c>
      <c r="BR27" s="44">
        <f t="shared" si="5"/>
        <v>0</v>
      </c>
      <c r="BU27" s="56"/>
      <c r="BV27" s="57"/>
      <c r="BW27" s="35"/>
      <c r="BX27" s="35"/>
      <c r="BY27" s="36">
        <f t="shared" si="22"/>
        <v>0</v>
      </c>
      <c r="BZ27" s="78"/>
      <c r="CA27" s="36">
        <f t="shared" si="23"/>
        <v>0</v>
      </c>
      <c r="CB27" s="38">
        <f>CA27*AB88/AE88</f>
        <v>0</v>
      </c>
      <c r="CC27" s="5"/>
      <c r="CD27" s="5"/>
      <c r="CE27" s="5"/>
      <c r="CF27" s="5"/>
      <c r="CJ27" s="56"/>
      <c r="CK27" s="57"/>
      <c r="CL27" s="35"/>
      <c r="CM27" s="35"/>
      <c r="CN27" s="36">
        <f t="shared" si="20"/>
        <v>0</v>
      </c>
      <c r="CO27" s="104"/>
      <c r="CP27" s="36">
        <f t="shared" si="21"/>
        <v>0</v>
      </c>
      <c r="CQ27" s="38">
        <f>CP27*AB88/AE88</f>
        <v>0</v>
      </c>
      <c r="CR27" s="5"/>
      <c r="CS27" s="5"/>
      <c r="DG27" s="5"/>
    </row>
    <row r="28" spans="2:111" ht="15" customHeight="1" x14ac:dyDescent="0.2">
      <c r="B28" s="93" t="s">
        <v>96</v>
      </c>
      <c r="C28" s="94">
        <v>5</v>
      </c>
      <c r="D28" s="73">
        <f t="shared" si="17"/>
        <v>0</v>
      </c>
      <c r="E28" s="95">
        <f>SUM(E29:E31)</f>
        <v>0</v>
      </c>
      <c r="F28" s="96">
        <f>SUM(F29:F31)</f>
        <v>0</v>
      </c>
      <c r="L28" s="40"/>
      <c r="M28" s="49"/>
      <c r="N28" s="42"/>
      <c r="O28" s="42"/>
      <c r="P28" s="35"/>
      <c r="Q28" s="35"/>
      <c r="R28" s="50">
        <f t="shared" si="14"/>
        <v>0</v>
      </c>
      <c r="S28" s="50">
        <f t="shared" si="15"/>
        <v>0</v>
      </c>
      <c r="T28" s="51">
        <f t="shared" si="16"/>
        <v>0</v>
      </c>
      <c r="U28" s="5"/>
      <c r="W28" s="56"/>
      <c r="X28" s="57"/>
      <c r="Y28" s="35"/>
      <c r="Z28" s="35"/>
      <c r="AA28" s="36">
        <f t="shared" si="12"/>
        <v>0</v>
      </c>
      <c r="AB28" s="78"/>
      <c r="AC28" s="36">
        <f t="shared" si="13"/>
        <v>0</v>
      </c>
      <c r="AD28" s="38">
        <f>AC28*AB88/AE88</f>
        <v>0</v>
      </c>
      <c r="AE28" s="5"/>
      <c r="AF28" s="70"/>
      <c r="AG28" s="5"/>
      <c r="AH28" s="64"/>
      <c r="AI28" s="5"/>
      <c r="AJ28" s="5"/>
      <c r="AK28" s="5"/>
      <c r="AL28" s="56"/>
      <c r="AM28" s="57"/>
      <c r="AN28" s="35"/>
      <c r="AO28" s="35"/>
      <c r="AP28" s="36">
        <f t="shared" si="18"/>
        <v>0</v>
      </c>
      <c r="AQ28" s="78"/>
      <c r="AR28" s="36">
        <f t="shared" si="19"/>
        <v>0</v>
      </c>
      <c r="AS28" s="38">
        <f>AR28*AB88/AE88</f>
        <v>0</v>
      </c>
      <c r="AT28" s="5"/>
      <c r="AU28" s="5"/>
      <c r="AV28" s="5"/>
      <c r="AW28" s="5"/>
      <c r="AX28" s="5"/>
      <c r="AY28" s="5"/>
      <c r="AZ28" s="5"/>
      <c r="BA28" s="40"/>
      <c r="BB28" s="41"/>
      <c r="BC28" s="42"/>
      <c r="BD28" s="35"/>
      <c r="BE28" s="43">
        <f t="shared" si="0"/>
        <v>0</v>
      </c>
      <c r="BF28" s="35"/>
      <c r="BG28" s="44">
        <f t="shared" si="1"/>
        <v>0</v>
      </c>
      <c r="BJ28" s="40"/>
      <c r="BK28" s="49"/>
      <c r="BL28" s="42"/>
      <c r="BM28" s="42"/>
      <c r="BN28" s="35"/>
      <c r="BO28" s="35"/>
      <c r="BP28" s="53">
        <f t="shared" si="3"/>
        <v>0</v>
      </c>
      <c r="BQ28" s="53">
        <f t="shared" si="4"/>
        <v>0</v>
      </c>
      <c r="BR28" s="44">
        <f t="shared" si="5"/>
        <v>0</v>
      </c>
      <c r="BU28" s="56"/>
      <c r="BV28" s="57"/>
      <c r="BW28" s="35"/>
      <c r="BX28" s="35"/>
      <c r="BY28" s="36">
        <f t="shared" si="22"/>
        <v>0</v>
      </c>
      <c r="BZ28" s="78"/>
      <c r="CA28" s="36">
        <f t="shared" si="23"/>
        <v>0</v>
      </c>
      <c r="CB28" s="38">
        <f>CA28*AB88/AE88</f>
        <v>0</v>
      </c>
      <c r="CC28" s="5"/>
      <c r="CD28" s="5"/>
      <c r="CE28" s="5"/>
      <c r="CF28" s="5"/>
      <c r="CJ28" s="56"/>
      <c r="CK28" s="57"/>
      <c r="CL28" s="35"/>
      <c r="CM28" s="35"/>
      <c r="CN28" s="36">
        <f t="shared" si="20"/>
        <v>0</v>
      </c>
      <c r="CO28" s="104"/>
      <c r="CP28" s="36">
        <f t="shared" si="21"/>
        <v>0</v>
      </c>
      <c r="CQ28" s="38">
        <f>CP28*AB88/AE88</f>
        <v>0</v>
      </c>
      <c r="CR28" s="5"/>
      <c r="CS28" s="5"/>
      <c r="DG28" s="5"/>
    </row>
    <row r="29" spans="2:111" ht="15" customHeight="1" x14ac:dyDescent="0.2">
      <c r="B29" s="81" t="s">
        <v>97</v>
      </c>
      <c r="C29" s="82">
        <v>5.0999999999999996</v>
      </c>
      <c r="D29" s="73">
        <f t="shared" si="17"/>
        <v>0</v>
      </c>
      <c r="E29" s="84">
        <f>BP32</f>
        <v>0</v>
      </c>
      <c r="F29" s="85">
        <f>BQ32</f>
        <v>0</v>
      </c>
      <c r="L29" s="40"/>
      <c r="M29" s="42"/>
      <c r="N29" s="42"/>
      <c r="O29" s="42"/>
      <c r="P29" s="35"/>
      <c r="Q29" s="35"/>
      <c r="R29" s="50">
        <f t="shared" si="14"/>
        <v>0</v>
      </c>
      <c r="S29" s="50">
        <f t="shared" si="15"/>
        <v>0</v>
      </c>
      <c r="T29" s="51">
        <f t="shared" si="16"/>
        <v>0</v>
      </c>
      <c r="U29" s="5"/>
      <c r="W29" s="56"/>
      <c r="X29" s="57"/>
      <c r="Y29" s="35"/>
      <c r="Z29" s="35"/>
      <c r="AA29" s="36">
        <f t="shared" si="12"/>
        <v>0</v>
      </c>
      <c r="AB29" s="78"/>
      <c r="AC29" s="36">
        <f t="shared" si="13"/>
        <v>0</v>
      </c>
      <c r="AD29" s="38">
        <f>AC29*AB88/AE88</f>
        <v>0</v>
      </c>
      <c r="AE29" s="5"/>
      <c r="AF29" s="70"/>
      <c r="AG29" s="5"/>
      <c r="AH29" s="64"/>
      <c r="AI29" s="5"/>
      <c r="AJ29" s="5"/>
      <c r="AK29" s="5"/>
      <c r="AL29" s="56"/>
      <c r="AM29" s="57"/>
      <c r="AN29" s="35"/>
      <c r="AO29" s="35"/>
      <c r="AP29" s="36">
        <f t="shared" si="18"/>
        <v>0</v>
      </c>
      <c r="AQ29" s="78"/>
      <c r="AR29" s="36">
        <f t="shared" si="19"/>
        <v>0</v>
      </c>
      <c r="AS29" s="38">
        <f>AR29*AB88/AE88</f>
        <v>0</v>
      </c>
      <c r="AT29" s="5"/>
      <c r="AU29" s="5"/>
      <c r="AV29" s="5"/>
      <c r="AW29" s="5"/>
      <c r="AX29" s="5"/>
      <c r="AY29" s="5"/>
      <c r="AZ29" s="5"/>
      <c r="BA29" s="40"/>
      <c r="BB29" s="41"/>
      <c r="BC29" s="42"/>
      <c r="BD29" s="35"/>
      <c r="BE29" s="43">
        <f t="shared" si="0"/>
        <v>0</v>
      </c>
      <c r="BF29" s="35"/>
      <c r="BG29" s="44">
        <f t="shared" si="1"/>
        <v>0</v>
      </c>
      <c r="BJ29" s="40"/>
      <c r="BK29" s="49"/>
      <c r="BL29" s="42"/>
      <c r="BM29" s="42"/>
      <c r="BN29" s="35"/>
      <c r="BO29" s="35"/>
      <c r="BP29" s="53">
        <f t="shared" si="3"/>
        <v>0</v>
      </c>
      <c r="BQ29" s="53">
        <f t="shared" si="4"/>
        <v>0</v>
      </c>
      <c r="BR29" s="44">
        <f t="shared" si="5"/>
        <v>0</v>
      </c>
      <c r="BU29" s="56"/>
      <c r="BV29" s="57"/>
      <c r="BW29" s="35"/>
      <c r="BX29" s="35"/>
      <c r="BY29" s="36">
        <f t="shared" si="22"/>
        <v>0</v>
      </c>
      <c r="BZ29" s="78"/>
      <c r="CA29" s="36">
        <f t="shared" si="23"/>
        <v>0</v>
      </c>
      <c r="CB29" s="38">
        <f>CA29*AB88/AE88</f>
        <v>0</v>
      </c>
      <c r="CC29" s="5"/>
      <c r="CD29" s="5"/>
      <c r="CE29" s="5"/>
      <c r="CF29" s="5"/>
      <c r="CJ29" s="56"/>
      <c r="CK29" s="57"/>
      <c r="CL29" s="35"/>
      <c r="CM29" s="35"/>
      <c r="CN29" s="36">
        <f t="shared" si="20"/>
        <v>0</v>
      </c>
      <c r="CO29" s="104"/>
      <c r="CP29" s="36">
        <f t="shared" si="21"/>
        <v>0</v>
      </c>
      <c r="CQ29" s="38">
        <f>CP29*AB88/AE88</f>
        <v>0</v>
      </c>
      <c r="CR29" s="5"/>
      <c r="CS29" s="5"/>
      <c r="DG29" s="5"/>
    </row>
    <row r="30" spans="2:111" ht="15.75" customHeight="1" x14ac:dyDescent="0.25">
      <c r="B30" s="105" t="s">
        <v>98</v>
      </c>
      <c r="C30" s="82">
        <v>5.2</v>
      </c>
      <c r="D30" s="73">
        <f t="shared" si="17"/>
        <v>0</v>
      </c>
      <c r="E30" s="84"/>
      <c r="F30" s="103"/>
      <c r="L30" s="108"/>
      <c r="M30" s="31" t="s">
        <v>21</v>
      </c>
      <c r="N30" s="109"/>
      <c r="O30" s="109"/>
      <c r="P30" s="50"/>
      <c r="Q30" s="50"/>
      <c r="R30" s="110">
        <f>SUM(R6:R29)</f>
        <v>587846.6</v>
      </c>
      <c r="S30" s="110">
        <f>SUM(S6:S29)</f>
        <v>0</v>
      </c>
      <c r="T30" s="111">
        <f>SUM(T6:T29)</f>
        <v>587846.6</v>
      </c>
      <c r="U30" s="5"/>
      <c r="W30" s="56"/>
      <c r="X30" s="57"/>
      <c r="Y30" s="35"/>
      <c r="Z30" s="35"/>
      <c r="AA30" s="36">
        <f t="shared" si="12"/>
        <v>0</v>
      </c>
      <c r="AB30" s="78"/>
      <c r="AC30" s="36">
        <f t="shared" si="13"/>
        <v>0</v>
      </c>
      <c r="AD30" s="38">
        <f>AC30*AB88/AE88</f>
        <v>0</v>
      </c>
      <c r="AE30" s="5"/>
      <c r="AF30" s="70"/>
      <c r="AG30" s="5"/>
      <c r="AH30" s="64"/>
      <c r="AI30" s="5"/>
      <c r="AJ30" s="5"/>
      <c r="AK30" s="5"/>
      <c r="AL30" s="56"/>
      <c r="AM30" s="57"/>
      <c r="AN30" s="35"/>
      <c r="AO30" s="35"/>
      <c r="AP30" s="36">
        <f t="shared" si="18"/>
        <v>0</v>
      </c>
      <c r="AQ30" s="78"/>
      <c r="AR30" s="36">
        <f t="shared" si="19"/>
        <v>0</v>
      </c>
      <c r="AS30" s="38">
        <f>AR30*AB88/AE88</f>
        <v>0</v>
      </c>
      <c r="AT30" s="5"/>
      <c r="AU30" s="5"/>
      <c r="AV30" s="5"/>
      <c r="AW30" s="5"/>
      <c r="AX30" s="5"/>
      <c r="AY30" s="5"/>
      <c r="AZ30" s="5"/>
      <c r="BA30" s="40"/>
      <c r="BB30" s="41"/>
      <c r="BC30" s="42"/>
      <c r="BD30" s="35"/>
      <c r="BE30" s="43">
        <f t="shared" si="0"/>
        <v>0</v>
      </c>
      <c r="BF30" s="35"/>
      <c r="BG30" s="44">
        <f t="shared" si="1"/>
        <v>0</v>
      </c>
      <c r="BJ30" s="40"/>
      <c r="BK30" s="112"/>
      <c r="BL30" s="42"/>
      <c r="BM30" s="42"/>
      <c r="BN30" s="35"/>
      <c r="BO30" s="35"/>
      <c r="BP30" s="53">
        <f t="shared" si="3"/>
        <v>0</v>
      </c>
      <c r="BQ30" s="53">
        <f t="shared" si="4"/>
        <v>0</v>
      </c>
      <c r="BR30" s="44">
        <f t="shared" si="5"/>
        <v>0</v>
      </c>
      <c r="BU30" s="56"/>
      <c r="BV30" s="57"/>
      <c r="BW30" s="35"/>
      <c r="BX30" s="35"/>
      <c r="BY30" s="36">
        <f t="shared" si="22"/>
        <v>0</v>
      </c>
      <c r="BZ30" s="78"/>
      <c r="CA30" s="36">
        <f t="shared" si="23"/>
        <v>0</v>
      </c>
      <c r="CB30" s="38">
        <f>CA30*AB88/AE88</f>
        <v>0</v>
      </c>
      <c r="CC30" s="5"/>
      <c r="CD30" s="5"/>
      <c r="CE30" s="5"/>
      <c r="CF30" s="5"/>
      <c r="CJ30" s="56"/>
      <c r="CK30" s="57"/>
      <c r="CL30" s="35"/>
      <c r="CM30" s="35"/>
      <c r="CN30" s="36">
        <f t="shared" si="20"/>
        <v>0</v>
      </c>
      <c r="CO30" s="104"/>
      <c r="CP30" s="36">
        <f t="shared" si="21"/>
        <v>0</v>
      </c>
      <c r="CQ30" s="38">
        <f>CP30*AB88/AE88</f>
        <v>0</v>
      </c>
      <c r="CR30" s="5"/>
      <c r="CS30" s="5"/>
      <c r="DG30" s="5"/>
    </row>
    <row r="31" spans="2:111" ht="15" customHeight="1" x14ac:dyDescent="0.2">
      <c r="B31" s="81" t="s">
        <v>99</v>
      </c>
      <c r="C31" s="82">
        <v>5.3</v>
      </c>
      <c r="D31" s="83">
        <f t="shared" si="17"/>
        <v>0</v>
      </c>
      <c r="E31" s="84">
        <f>(AS37+AW80)*D10</f>
        <v>0</v>
      </c>
      <c r="F31" s="85">
        <f>AX80*D10</f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W31" s="56"/>
      <c r="X31" s="57"/>
      <c r="Y31" s="35"/>
      <c r="Z31" s="35"/>
      <c r="AA31" s="36">
        <f t="shared" si="12"/>
        <v>0</v>
      </c>
      <c r="AB31" s="78"/>
      <c r="AC31" s="36">
        <f t="shared" si="13"/>
        <v>0</v>
      </c>
      <c r="AD31" s="38">
        <f>AC31*AB88/AE88</f>
        <v>0</v>
      </c>
      <c r="AE31" s="5"/>
      <c r="AF31" s="70"/>
      <c r="AG31" s="5"/>
      <c r="AH31" s="64"/>
      <c r="AI31" s="5"/>
      <c r="AJ31" s="5"/>
      <c r="AK31" s="5"/>
      <c r="AL31" s="56"/>
      <c r="AM31" s="57"/>
      <c r="AN31" s="35"/>
      <c r="AO31" s="35"/>
      <c r="AP31" s="36">
        <f t="shared" si="18"/>
        <v>0</v>
      </c>
      <c r="AQ31" s="78"/>
      <c r="AR31" s="36">
        <f t="shared" si="19"/>
        <v>0</v>
      </c>
      <c r="AS31" s="38">
        <f>AR31*AB88/AE88</f>
        <v>0</v>
      </c>
      <c r="AT31" s="5"/>
      <c r="AU31" s="5"/>
      <c r="AV31" s="5"/>
      <c r="AW31" s="5"/>
      <c r="AX31" s="5"/>
      <c r="AY31" s="5"/>
      <c r="AZ31" s="5"/>
      <c r="BA31" s="40"/>
      <c r="BB31" s="41"/>
      <c r="BC31" s="42"/>
      <c r="BD31" s="35"/>
      <c r="BE31" s="43">
        <f t="shared" si="0"/>
        <v>0</v>
      </c>
      <c r="BF31" s="35"/>
      <c r="BG31" s="44">
        <f t="shared" si="1"/>
        <v>0</v>
      </c>
      <c r="BJ31" s="40"/>
      <c r="BK31" s="42"/>
      <c r="BL31" s="42"/>
      <c r="BM31" s="42"/>
      <c r="BN31" s="35"/>
      <c r="BO31" s="35"/>
      <c r="BP31" s="53"/>
      <c r="BQ31" s="53"/>
      <c r="BR31" s="44"/>
      <c r="BU31" s="56"/>
      <c r="BV31" s="57"/>
      <c r="BW31" s="35"/>
      <c r="BX31" s="35"/>
      <c r="BY31" s="36">
        <f t="shared" si="22"/>
        <v>0</v>
      </c>
      <c r="BZ31" s="78"/>
      <c r="CA31" s="36">
        <f t="shared" si="23"/>
        <v>0</v>
      </c>
      <c r="CB31" s="38">
        <f>CA31*AB88/AE88</f>
        <v>0</v>
      </c>
      <c r="CC31" s="5"/>
      <c r="CD31" s="5"/>
      <c r="CE31" s="5"/>
      <c r="CF31" s="5"/>
      <c r="CJ31" s="56"/>
      <c r="CK31" s="57"/>
      <c r="CL31" s="35"/>
      <c r="CM31" s="35"/>
      <c r="CN31" s="36">
        <f t="shared" si="20"/>
        <v>0</v>
      </c>
      <c r="CO31" s="104"/>
      <c r="CP31" s="36">
        <f t="shared" si="21"/>
        <v>0</v>
      </c>
      <c r="CQ31" s="38">
        <f>CP31*AB88/AE88</f>
        <v>0</v>
      </c>
      <c r="CR31" s="5"/>
      <c r="CS31" s="5"/>
      <c r="DG31" s="5"/>
    </row>
    <row r="32" spans="2:111" ht="15" customHeight="1" x14ac:dyDescent="0.25">
      <c r="B32" s="93" t="s">
        <v>100</v>
      </c>
      <c r="C32" s="94">
        <v>6</v>
      </c>
      <c r="D32" s="73">
        <f t="shared" si="17"/>
        <v>0</v>
      </c>
      <c r="E32" s="95">
        <f>SUM(E33:E37)</f>
        <v>0</v>
      </c>
      <c r="F32" s="96">
        <f>SUM(F33:F37)</f>
        <v>0</v>
      </c>
      <c r="L32" s="5"/>
      <c r="M32" s="5"/>
      <c r="N32" s="5"/>
      <c r="O32" s="5"/>
      <c r="P32" s="5"/>
      <c r="Q32" s="5"/>
      <c r="R32" s="5"/>
      <c r="S32" s="5"/>
      <c r="T32" s="5"/>
      <c r="U32" s="5"/>
      <c r="W32" s="56"/>
      <c r="X32" s="57"/>
      <c r="Y32" s="35"/>
      <c r="Z32" s="35"/>
      <c r="AA32" s="36">
        <f t="shared" si="12"/>
        <v>0</v>
      </c>
      <c r="AB32" s="78"/>
      <c r="AC32" s="36">
        <f t="shared" si="13"/>
        <v>0</v>
      </c>
      <c r="AD32" s="38">
        <f>AC32*AB88/AE88</f>
        <v>0</v>
      </c>
      <c r="AE32" s="5"/>
      <c r="AF32" s="70"/>
      <c r="AG32" s="5"/>
      <c r="AH32" s="64"/>
      <c r="AI32" s="5"/>
      <c r="AJ32" s="5"/>
      <c r="AK32" s="5"/>
      <c r="AL32" s="56"/>
      <c r="AM32" s="57"/>
      <c r="AN32" s="35"/>
      <c r="AO32" s="35"/>
      <c r="AP32" s="36">
        <f t="shared" si="18"/>
        <v>0</v>
      </c>
      <c r="AQ32" s="78"/>
      <c r="AR32" s="36">
        <f t="shared" si="19"/>
        <v>0</v>
      </c>
      <c r="AS32" s="38">
        <f>AR32*AB88/AE88</f>
        <v>0</v>
      </c>
      <c r="AT32" s="5"/>
      <c r="AU32" s="5"/>
      <c r="AV32" s="5"/>
      <c r="AW32" s="5"/>
      <c r="AX32" s="5"/>
      <c r="AY32" s="5"/>
      <c r="AZ32" s="5"/>
      <c r="BA32" s="40"/>
      <c r="BB32" s="41"/>
      <c r="BC32" s="42"/>
      <c r="BD32" s="35"/>
      <c r="BE32" s="43">
        <f t="shared" si="0"/>
        <v>0</v>
      </c>
      <c r="BF32" s="35"/>
      <c r="BG32" s="44">
        <f t="shared" si="1"/>
        <v>0</v>
      </c>
      <c r="BJ32" s="113"/>
      <c r="BK32" s="114" t="s">
        <v>21</v>
      </c>
      <c r="BL32" s="115"/>
      <c r="BM32" s="115"/>
      <c r="BN32" s="116"/>
      <c r="BO32" s="116"/>
      <c r="BP32" s="116">
        <f>SUM(BP6:BP31)</f>
        <v>0</v>
      </c>
      <c r="BQ32" s="116">
        <f>SUM(BQ6:BQ31)</f>
        <v>0</v>
      </c>
      <c r="BR32" s="117">
        <f>SUM(BR6:BR31)</f>
        <v>0</v>
      </c>
      <c r="BU32" s="56"/>
      <c r="BV32" s="57"/>
      <c r="BW32" s="35"/>
      <c r="BX32" s="35"/>
      <c r="BY32" s="36">
        <f t="shared" si="22"/>
        <v>0</v>
      </c>
      <c r="BZ32" s="78"/>
      <c r="CA32" s="36">
        <f t="shared" si="23"/>
        <v>0</v>
      </c>
      <c r="CB32" s="38">
        <f>CA32*AB88/AE88</f>
        <v>0</v>
      </c>
      <c r="CC32" s="5"/>
      <c r="CD32" s="5"/>
      <c r="CE32" s="5"/>
      <c r="CF32" s="5"/>
      <c r="CJ32" s="56"/>
      <c r="CK32" s="57"/>
      <c r="CL32" s="35"/>
      <c r="CM32" s="35"/>
      <c r="CN32" s="36">
        <f t="shared" si="20"/>
        <v>0</v>
      </c>
      <c r="CO32" s="104"/>
      <c r="CP32" s="36">
        <f t="shared" si="21"/>
        <v>0</v>
      </c>
      <c r="CQ32" s="38">
        <f>CP32*AB88/AE88</f>
        <v>0</v>
      </c>
      <c r="CR32" s="5"/>
      <c r="CS32" s="5"/>
      <c r="DG32" s="5"/>
    </row>
    <row r="33" spans="2:111" ht="15" customHeight="1" x14ac:dyDescent="0.2">
      <c r="B33" s="81" t="s">
        <v>90</v>
      </c>
      <c r="C33" s="82">
        <v>6.1</v>
      </c>
      <c r="D33" s="73">
        <f t="shared" si="17"/>
        <v>0</v>
      </c>
      <c r="E33" s="84">
        <f>BG82</f>
        <v>0</v>
      </c>
      <c r="F33" s="103"/>
      <c r="L33" s="5"/>
      <c r="M33" s="5"/>
      <c r="N33" s="5"/>
      <c r="O33" s="5"/>
      <c r="P33" s="5"/>
      <c r="Q33" s="5"/>
      <c r="R33" s="5"/>
      <c r="S33" s="5"/>
      <c r="T33" s="5"/>
      <c r="U33" s="5"/>
      <c r="W33" s="56"/>
      <c r="X33" s="57"/>
      <c r="Y33" s="35"/>
      <c r="Z33" s="35"/>
      <c r="AA33" s="36">
        <f t="shared" si="12"/>
        <v>0</v>
      </c>
      <c r="AB33" s="78"/>
      <c r="AC33" s="36">
        <f t="shared" si="13"/>
        <v>0</v>
      </c>
      <c r="AD33" s="38">
        <f>AC33*AB88/AE88</f>
        <v>0</v>
      </c>
      <c r="AE33" s="5"/>
      <c r="AF33" s="70"/>
      <c r="AG33" s="5"/>
      <c r="AH33" s="64"/>
      <c r="AI33" s="5"/>
      <c r="AJ33" s="5"/>
      <c r="AK33" s="5"/>
      <c r="AL33" s="56"/>
      <c r="AM33" s="57"/>
      <c r="AN33" s="35"/>
      <c r="AO33" s="35"/>
      <c r="AP33" s="36">
        <f t="shared" si="18"/>
        <v>0</v>
      </c>
      <c r="AQ33" s="78"/>
      <c r="AR33" s="36">
        <f t="shared" si="19"/>
        <v>0</v>
      </c>
      <c r="AS33" s="38">
        <f>AR33*AB88/AE88</f>
        <v>0</v>
      </c>
      <c r="AT33" s="5"/>
      <c r="AU33" s="5"/>
      <c r="AV33" s="5"/>
      <c r="AW33" s="5"/>
      <c r="AX33" s="5"/>
      <c r="AY33" s="5"/>
      <c r="AZ33" s="5"/>
      <c r="BA33" s="40"/>
      <c r="BB33" s="41"/>
      <c r="BC33" s="42"/>
      <c r="BD33" s="35"/>
      <c r="BE33" s="43">
        <f t="shared" si="0"/>
        <v>0</v>
      </c>
      <c r="BF33" s="35"/>
      <c r="BG33" s="44">
        <f t="shared" si="1"/>
        <v>0</v>
      </c>
      <c r="BU33" s="56"/>
      <c r="BV33" s="57"/>
      <c r="BW33" s="35"/>
      <c r="BX33" s="35"/>
      <c r="BY33" s="36">
        <f t="shared" si="22"/>
        <v>0</v>
      </c>
      <c r="BZ33" s="78"/>
      <c r="CA33" s="36">
        <f t="shared" si="23"/>
        <v>0</v>
      </c>
      <c r="CB33" s="38">
        <f>CA33*AB88/AE88</f>
        <v>0</v>
      </c>
      <c r="CC33" s="5"/>
      <c r="CD33" s="5"/>
      <c r="CE33" s="5"/>
      <c r="CF33" s="5"/>
      <c r="CJ33" s="56"/>
      <c r="CK33" s="57"/>
      <c r="CL33" s="35"/>
      <c r="CM33" s="35"/>
      <c r="CN33" s="36">
        <f t="shared" si="20"/>
        <v>0</v>
      </c>
      <c r="CO33" s="104"/>
      <c r="CP33" s="36">
        <f t="shared" si="21"/>
        <v>0</v>
      </c>
      <c r="CQ33" s="38">
        <f>CP33*AB88/AE88</f>
        <v>0</v>
      </c>
      <c r="CR33" s="5"/>
      <c r="CS33" s="5"/>
      <c r="DG33" s="5"/>
    </row>
    <row r="34" spans="2:111" ht="15" customHeight="1" x14ac:dyDescent="0.25">
      <c r="B34" s="105" t="s">
        <v>91</v>
      </c>
      <c r="C34" s="82">
        <v>6.2</v>
      </c>
      <c r="D34" s="73">
        <f t="shared" si="17"/>
        <v>0</v>
      </c>
      <c r="E34" s="84">
        <f>E33*I34%</f>
        <v>0</v>
      </c>
      <c r="F34" s="103"/>
      <c r="H34" s="1" t="s">
        <v>92</v>
      </c>
      <c r="I34" s="107">
        <v>9.09</v>
      </c>
      <c r="L34" s="5"/>
      <c r="M34" s="46" t="s">
        <v>101</v>
      </c>
      <c r="N34" s="5"/>
      <c r="O34" s="5"/>
      <c r="P34" s="5"/>
      <c r="Q34" s="5"/>
      <c r="R34" s="5"/>
      <c r="S34" s="5"/>
      <c r="T34" s="5"/>
      <c r="U34" s="5"/>
      <c r="W34" s="56"/>
      <c r="X34" s="57"/>
      <c r="Y34" s="35"/>
      <c r="Z34" s="35"/>
      <c r="AA34" s="36">
        <f t="shared" si="12"/>
        <v>0</v>
      </c>
      <c r="AB34" s="78"/>
      <c r="AC34" s="36">
        <f t="shared" si="13"/>
        <v>0</v>
      </c>
      <c r="AD34" s="38">
        <f>AC34*AB88/AE88</f>
        <v>0</v>
      </c>
      <c r="AE34" s="5"/>
      <c r="AF34" s="70"/>
      <c r="AG34" s="5"/>
      <c r="AH34" s="64"/>
      <c r="AI34" s="5"/>
      <c r="AJ34" s="5"/>
      <c r="AK34" s="5"/>
      <c r="AL34" s="56"/>
      <c r="AM34" s="57"/>
      <c r="AN34" s="35"/>
      <c r="AO34" s="35"/>
      <c r="AP34" s="36">
        <f t="shared" si="18"/>
        <v>0</v>
      </c>
      <c r="AQ34" s="78"/>
      <c r="AR34" s="36">
        <f t="shared" si="19"/>
        <v>0</v>
      </c>
      <c r="AS34" s="38">
        <f>AR34*AB88/AE88</f>
        <v>0</v>
      </c>
      <c r="AT34" s="5"/>
      <c r="AU34" s="5"/>
      <c r="AV34" s="5"/>
      <c r="AW34" s="5"/>
      <c r="AX34" s="5"/>
      <c r="AY34" s="5"/>
      <c r="AZ34" s="5"/>
      <c r="BA34" s="40"/>
      <c r="BB34" s="41"/>
      <c r="BC34" s="42"/>
      <c r="BD34" s="35"/>
      <c r="BE34" s="43">
        <f t="shared" si="0"/>
        <v>0</v>
      </c>
      <c r="BF34" s="35"/>
      <c r="BG34" s="44">
        <f t="shared" si="1"/>
        <v>0</v>
      </c>
      <c r="BU34" s="56"/>
      <c r="BV34" s="57"/>
      <c r="BW34" s="35"/>
      <c r="BX34" s="35"/>
      <c r="BY34" s="36">
        <f t="shared" si="22"/>
        <v>0</v>
      </c>
      <c r="BZ34" s="78"/>
      <c r="CA34" s="36">
        <f t="shared" si="23"/>
        <v>0</v>
      </c>
      <c r="CB34" s="38">
        <f>CA34*AB88/AE88</f>
        <v>0</v>
      </c>
      <c r="CC34" s="5"/>
      <c r="CD34" s="5"/>
      <c r="CE34" s="5"/>
      <c r="CF34" s="5"/>
      <c r="CJ34" s="56"/>
      <c r="CK34" s="57"/>
      <c r="CL34" s="35"/>
      <c r="CM34" s="35"/>
      <c r="CN34" s="36">
        <f t="shared" si="20"/>
        <v>0</v>
      </c>
      <c r="CO34" s="104"/>
      <c r="CP34" s="36">
        <f t="shared" si="21"/>
        <v>0</v>
      </c>
      <c r="CQ34" s="38">
        <f>CP34*AB88/AE88</f>
        <v>0</v>
      </c>
      <c r="CR34" s="5"/>
      <c r="CS34" s="5"/>
      <c r="DG34" s="5"/>
    </row>
    <row r="35" spans="2:111" ht="15" customHeight="1" x14ac:dyDescent="0.2">
      <c r="B35" s="105" t="s">
        <v>93</v>
      </c>
      <c r="C35" s="82">
        <v>6.3</v>
      </c>
      <c r="D35" s="73">
        <f t="shared" si="17"/>
        <v>0</v>
      </c>
      <c r="E35" s="84">
        <f>(E33+E34)*I35%</f>
        <v>0</v>
      </c>
      <c r="F35" s="103"/>
      <c r="H35" s="1" t="s">
        <v>92</v>
      </c>
      <c r="I35" s="107">
        <v>5</v>
      </c>
      <c r="L35" s="5"/>
      <c r="M35" s="5"/>
      <c r="N35" s="5"/>
      <c r="O35" s="5"/>
      <c r="P35" s="5"/>
      <c r="Q35" s="5"/>
      <c r="R35" s="5"/>
      <c r="S35" s="5"/>
      <c r="T35" s="5"/>
      <c r="U35" s="5"/>
      <c r="W35" s="56"/>
      <c r="X35" s="57"/>
      <c r="Y35" s="35"/>
      <c r="Z35" s="35"/>
      <c r="AA35" s="36">
        <f t="shared" si="12"/>
        <v>0</v>
      </c>
      <c r="AB35" s="78"/>
      <c r="AC35" s="36">
        <f t="shared" si="13"/>
        <v>0</v>
      </c>
      <c r="AD35" s="61">
        <f>AC35*AB88/AE88</f>
        <v>0</v>
      </c>
      <c r="AE35" s="5"/>
      <c r="AF35" s="70"/>
      <c r="AG35" s="5"/>
      <c r="AH35" s="5"/>
      <c r="AI35" s="5"/>
      <c r="AJ35" s="5"/>
      <c r="AK35" s="5"/>
      <c r="AL35" s="56"/>
      <c r="AM35" s="57"/>
      <c r="AN35" s="35"/>
      <c r="AO35" s="35"/>
      <c r="AP35" s="36">
        <f t="shared" si="18"/>
        <v>0</v>
      </c>
      <c r="AQ35" s="78"/>
      <c r="AR35" s="36">
        <f t="shared" si="19"/>
        <v>0</v>
      </c>
      <c r="AS35" s="61">
        <f>AR35*AB88/AE88</f>
        <v>0</v>
      </c>
      <c r="AT35" s="5"/>
      <c r="AU35" s="5"/>
      <c r="AV35" s="5"/>
      <c r="AW35" s="5"/>
      <c r="AX35" s="5"/>
      <c r="AY35" s="5"/>
      <c r="AZ35" s="5"/>
      <c r="BA35" s="40"/>
      <c r="BB35" s="41"/>
      <c r="BC35" s="42"/>
      <c r="BD35" s="35"/>
      <c r="BE35" s="43">
        <f t="shared" si="0"/>
        <v>0</v>
      </c>
      <c r="BF35" s="35"/>
      <c r="BG35" s="44">
        <f t="shared" si="1"/>
        <v>0</v>
      </c>
      <c r="BU35" s="56"/>
      <c r="BV35" s="57"/>
      <c r="BW35" s="35"/>
      <c r="BX35" s="35"/>
      <c r="BY35" s="36">
        <f t="shared" si="22"/>
        <v>0</v>
      </c>
      <c r="BZ35" s="78"/>
      <c r="CA35" s="36">
        <f t="shared" si="23"/>
        <v>0</v>
      </c>
      <c r="CB35" s="38">
        <f>CA35*AB88/AE88</f>
        <v>0</v>
      </c>
      <c r="CC35" s="5"/>
      <c r="CD35" s="5"/>
      <c r="CE35" s="5"/>
      <c r="CF35" s="5"/>
      <c r="CJ35" s="56"/>
      <c r="CK35" s="57"/>
      <c r="CL35" s="35"/>
      <c r="CM35" s="35"/>
      <c r="CN35" s="36">
        <f t="shared" si="20"/>
        <v>0</v>
      </c>
      <c r="CO35" s="104"/>
      <c r="CP35" s="36">
        <f t="shared" si="21"/>
        <v>0</v>
      </c>
      <c r="CQ35" s="38">
        <f>CP35*AB88/AE88</f>
        <v>0</v>
      </c>
      <c r="CR35" s="5"/>
      <c r="CS35" s="5"/>
      <c r="DG35" s="5"/>
    </row>
    <row r="36" spans="2:111" ht="15" customHeight="1" x14ac:dyDescent="0.25">
      <c r="B36" s="105" t="s">
        <v>102</v>
      </c>
      <c r="C36" s="82">
        <v>6.4</v>
      </c>
      <c r="D36" s="73">
        <f t="shared" si="17"/>
        <v>0</v>
      </c>
      <c r="E36" s="84">
        <f>(E33+E34)*I36%</f>
        <v>0</v>
      </c>
      <c r="F36" s="103"/>
      <c r="H36" s="1" t="s">
        <v>92</v>
      </c>
      <c r="I36" s="107">
        <v>14</v>
      </c>
      <c r="L36" s="174" t="s">
        <v>15</v>
      </c>
      <c r="M36" s="175" t="s">
        <v>16</v>
      </c>
      <c r="N36" s="175" t="s">
        <v>17</v>
      </c>
      <c r="O36" s="14" t="s">
        <v>18</v>
      </c>
      <c r="P36" s="175" t="s">
        <v>19</v>
      </c>
      <c r="Q36" s="175"/>
      <c r="R36" s="175" t="s">
        <v>20</v>
      </c>
      <c r="S36" s="175"/>
      <c r="T36" s="178" t="s">
        <v>21</v>
      </c>
      <c r="U36" s="5"/>
      <c r="W36" s="56"/>
      <c r="X36" s="57"/>
      <c r="Y36" s="35"/>
      <c r="Z36" s="35"/>
      <c r="AA36" s="36">
        <f t="shared" si="12"/>
        <v>0</v>
      </c>
      <c r="AB36" s="78"/>
      <c r="AC36" s="60"/>
      <c r="AD36" s="61">
        <f>AC36*AB88/AE88</f>
        <v>0</v>
      </c>
      <c r="AE36" s="5"/>
      <c r="AF36" s="70"/>
      <c r="AG36" s="5"/>
      <c r="AH36" s="5"/>
      <c r="AI36" s="5"/>
      <c r="AJ36" s="5"/>
      <c r="AK36" s="5"/>
      <c r="AL36" s="56"/>
      <c r="AM36" s="57"/>
      <c r="AN36" s="35"/>
      <c r="AO36" s="35"/>
      <c r="AP36" s="36">
        <f t="shared" si="18"/>
        <v>0</v>
      </c>
      <c r="AQ36" s="78"/>
      <c r="AR36" s="60"/>
      <c r="AS36" s="61">
        <f>AR36*AB88/AE88</f>
        <v>0</v>
      </c>
      <c r="AT36" s="5"/>
      <c r="AU36" s="5"/>
      <c r="AV36" s="5"/>
      <c r="AW36" s="5"/>
      <c r="AX36" s="5"/>
      <c r="AY36" s="5"/>
      <c r="AZ36" s="5"/>
      <c r="BA36" s="173" t="s">
        <v>103</v>
      </c>
      <c r="BB36" s="173"/>
      <c r="BC36" s="173"/>
      <c r="BD36" s="116"/>
      <c r="BE36" s="116"/>
      <c r="BF36" s="116"/>
      <c r="BG36" s="117">
        <f>SUM(BG5:BG35)</f>
        <v>899.47534102833151</v>
      </c>
      <c r="BU36" s="56"/>
      <c r="BV36" s="57"/>
      <c r="BW36" s="35"/>
      <c r="BX36" s="35"/>
      <c r="BY36" s="36">
        <f t="shared" si="22"/>
        <v>0</v>
      </c>
      <c r="BZ36" s="78"/>
      <c r="CA36" s="36">
        <f t="shared" si="23"/>
        <v>0</v>
      </c>
      <c r="CB36" s="38">
        <f>CA36*AB88/AE88</f>
        <v>0</v>
      </c>
      <c r="CC36" s="5"/>
      <c r="CD36" s="5"/>
      <c r="CE36" s="5"/>
      <c r="CF36" s="5"/>
      <c r="CJ36" s="56"/>
      <c r="CK36" s="57"/>
      <c r="CL36" s="35"/>
      <c r="CM36" s="35"/>
      <c r="CN36" s="36">
        <f t="shared" si="20"/>
        <v>0</v>
      </c>
      <c r="CO36" s="104"/>
      <c r="CP36" s="36">
        <f t="shared" si="21"/>
        <v>0</v>
      </c>
      <c r="CQ36" s="38">
        <f>CP36*AB88/AE88</f>
        <v>0</v>
      </c>
      <c r="CR36" s="5"/>
      <c r="CS36" s="5"/>
      <c r="DG36" s="5"/>
    </row>
    <row r="37" spans="2:111" ht="15" customHeight="1" x14ac:dyDescent="0.25">
      <c r="B37" s="105" t="s">
        <v>104</v>
      </c>
      <c r="C37" s="82">
        <v>6.5</v>
      </c>
      <c r="D37" s="73">
        <f t="shared" si="17"/>
        <v>0</v>
      </c>
      <c r="E37" s="118"/>
      <c r="F37" s="103"/>
      <c r="L37" s="174"/>
      <c r="M37" s="175"/>
      <c r="N37" s="175"/>
      <c r="O37" s="31" t="s">
        <v>43</v>
      </c>
      <c r="P37" s="31" t="s">
        <v>44</v>
      </c>
      <c r="Q37" s="31" t="s">
        <v>45</v>
      </c>
      <c r="R37" s="31" t="s">
        <v>44</v>
      </c>
      <c r="S37" s="31" t="s">
        <v>45</v>
      </c>
      <c r="T37" s="178"/>
      <c r="U37" s="5"/>
      <c r="W37" s="171" t="s">
        <v>21</v>
      </c>
      <c r="X37" s="171"/>
      <c r="Y37" s="171"/>
      <c r="Z37" s="171"/>
      <c r="AA37" s="119">
        <f>SUM(AA5:AA36)</f>
        <v>0</v>
      </c>
      <c r="AB37" s="119"/>
      <c r="AC37" s="119"/>
      <c r="AD37" s="120">
        <f>SUM(AD5:AD36)</f>
        <v>0</v>
      </c>
      <c r="AE37" s="121"/>
      <c r="AF37" s="121"/>
      <c r="AG37" s="121"/>
      <c r="AH37" s="121"/>
      <c r="AI37" s="5"/>
      <c r="AJ37" s="5"/>
      <c r="AK37" s="5"/>
      <c r="AL37" s="171" t="s">
        <v>21</v>
      </c>
      <c r="AM37" s="171"/>
      <c r="AN37" s="171"/>
      <c r="AO37" s="171"/>
      <c r="AP37" s="90">
        <f>SUM(AP5:AP36)</f>
        <v>0</v>
      </c>
      <c r="AQ37" s="119"/>
      <c r="AR37" s="90"/>
      <c r="AS37" s="120">
        <f>SUM(AS5:AS36)</f>
        <v>0</v>
      </c>
      <c r="AT37" s="5"/>
      <c r="AU37" s="5"/>
      <c r="AV37" s="5"/>
      <c r="AW37" s="5"/>
      <c r="AX37" s="5"/>
      <c r="AY37" s="5"/>
      <c r="AZ37" s="5"/>
      <c r="BA37" s="5"/>
      <c r="BB37" s="5"/>
      <c r="BC37" s="10"/>
      <c r="BD37" s="5"/>
      <c r="BE37" s="5"/>
      <c r="BF37" s="5"/>
      <c r="BG37" s="5"/>
      <c r="BU37" s="56"/>
      <c r="BV37" s="57"/>
      <c r="BW37" s="35"/>
      <c r="BX37" s="35"/>
      <c r="BY37" s="36">
        <f t="shared" si="22"/>
        <v>0</v>
      </c>
      <c r="BZ37" s="78"/>
      <c r="CA37" s="36">
        <f t="shared" si="23"/>
        <v>0</v>
      </c>
      <c r="CB37" s="38">
        <f>CA37*AB88/AE88</f>
        <v>0</v>
      </c>
      <c r="CC37" s="5"/>
      <c r="CD37" s="5"/>
      <c r="CE37" s="5"/>
      <c r="CF37" s="5"/>
      <c r="CJ37" s="56"/>
      <c r="CK37" s="57"/>
      <c r="CL37" s="35"/>
      <c r="CM37" s="35"/>
      <c r="CN37" s="36">
        <f t="shared" si="20"/>
        <v>0</v>
      </c>
      <c r="CO37" s="104"/>
      <c r="CP37" s="36">
        <f t="shared" si="21"/>
        <v>0</v>
      </c>
      <c r="CQ37" s="38">
        <f>CP37*AB88/AE88</f>
        <v>0</v>
      </c>
      <c r="CR37" s="5"/>
      <c r="CS37" s="5"/>
      <c r="DG37" s="5"/>
    </row>
    <row r="38" spans="2:111" ht="15" customHeight="1" x14ac:dyDescent="0.2">
      <c r="B38" s="93" t="s">
        <v>105</v>
      </c>
      <c r="C38" s="94">
        <v>7</v>
      </c>
      <c r="D38" s="73">
        <f t="shared" si="17"/>
        <v>1400</v>
      </c>
      <c r="E38" s="95">
        <f>SUM(E39:E44)</f>
        <v>1400</v>
      </c>
      <c r="F38" s="96">
        <f>SUM(F39:F44)</f>
        <v>0</v>
      </c>
      <c r="L38" s="40"/>
      <c r="M38" s="49" t="s">
        <v>106</v>
      </c>
      <c r="N38" s="42" t="s">
        <v>107</v>
      </c>
      <c r="O38" s="42">
        <v>300</v>
      </c>
      <c r="P38" s="35">
        <v>0.01</v>
      </c>
      <c r="Q38" s="35"/>
      <c r="R38" s="50">
        <f>O38*P38</f>
        <v>3</v>
      </c>
      <c r="S38" s="50">
        <f>O38*Q38</f>
        <v>0</v>
      </c>
      <c r="T38" s="51">
        <f>R38+S38</f>
        <v>3</v>
      </c>
      <c r="U38" s="5"/>
      <c r="W38" s="8"/>
      <c r="X38" s="5"/>
      <c r="Y38" s="5"/>
      <c r="Z38" s="9"/>
      <c r="AA38" s="9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/>
      <c r="BB38"/>
      <c r="BC38"/>
      <c r="BD38"/>
      <c r="BE38"/>
      <c r="BF38"/>
      <c r="BG38"/>
      <c r="BU38" s="56"/>
      <c r="BV38" s="57"/>
      <c r="BW38" s="35"/>
      <c r="BX38" s="35"/>
      <c r="BY38" s="36">
        <f t="shared" si="22"/>
        <v>0</v>
      </c>
      <c r="BZ38" s="78"/>
      <c r="CA38" s="36">
        <f t="shared" si="23"/>
        <v>0</v>
      </c>
      <c r="CB38" s="38">
        <f>CA38*AB88/AE88</f>
        <v>0</v>
      </c>
      <c r="CC38" s="5"/>
      <c r="CD38" s="5"/>
      <c r="CE38" s="5"/>
      <c r="CF38" s="5"/>
      <c r="CJ38" s="56"/>
      <c r="CK38" s="57"/>
      <c r="CL38" s="35"/>
      <c r="CM38" s="35"/>
      <c r="CN38" s="36">
        <f t="shared" si="20"/>
        <v>0</v>
      </c>
      <c r="CO38" s="104"/>
      <c r="CP38" s="36">
        <f t="shared" si="21"/>
        <v>0</v>
      </c>
      <c r="CQ38" s="38">
        <f>CP38*AB88/AE88</f>
        <v>0</v>
      </c>
      <c r="CR38" s="5"/>
      <c r="CS38" s="5"/>
      <c r="DG38" s="5"/>
    </row>
    <row r="39" spans="2:111" ht="15" customHeight="1" x14ac:dyDescent="0.2">
      <c r="B39" s="81" t="s">
        <v>108</v>
      </c>
      <c r="C39" s="82">
        <v>7.1</v>
      </c>
      <c r="D39" s="83">
        <f t="shared" si="17"/>
        <v>1400</v>
      </c>
      <c r="E39" s="84">
        <f>CP14</f>
        <v>1400</v>
      </c>
      <c r="F39" s="85">
        <f>CB15</f>
        <v>0</v>
      </c>
      <c r="L39" s="40"/>
      <c r="M39" s="49"/>
      <c r="N39" s="42"/>
      <c r="O39" s="42"/>
      <c r="P39" s="35"/>
      <c r="Q39" s="35"/>
      <c r="R39" s="50">
        <f>O39*P39</f>
        <v>0</v>
      </c>
      <c r="S39" s="50">
        <f>O39*Q39</f>
        <v>0</v>
      </c>
      <c r="T39" s="51">
        <f>R39+S39</f>
        <v>0</v>
      </c>
      <c r="U39" s="5"/>
      <c r="W39" s="8"/>
      <c r="X39" s="5"/>
      <c r="Y39" s="5"/>
      <c r="Z39" s="9"/>
      <c r="AA39" s="9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/>
      <c r="BB39"/>
      <c r="BC39"/>
      <c r="BD39"/>
      <c r="BE39"/>
      <c r="BF39"/>
      <c r="BG39"/>
      <c r="BU39" s="56"/>
      <c r="BV39" s="57"/>
      <c r="BW39" s="35"/>
      <c r="BX39" s="35"/>
      <c r="BY39" s="36">
        <f t="shared" si="22"/>
        <v>0</v>
      </c>
      <c r="BZ39" s="78"/>
      <c r="CA39" s="36">
        <f t="shared" si="23"/>
        <v>0</v>
      </c>
      <c r="CB39" s="38">
        <f>CA39*AB88/AE88</f>
        <v>0</v>
      </c>
      <c r="CC39" s="5"/>
      <c r="CD39" s="5"/>
      <c r="CE39" s="5"/>
      <c r="CF39" s="5"/>
      <c r="CJ39" s="56"/>
      <c r="CK39" s="57"/>
      <c r="CL39" s="35"/>
      <c r="CM39" s="35"/>
      <c r="CN39" s="36">
        <f t="shared" si="20"/>
        <v>0</v>
      </c>
      <c r="CO39" s="104"/>
      <c r="CP39" s="36">
        <f t="shared" si="21"/>
        <v>0</v>
      </c>
      <c r="CQ39" s="38">
        <f>CP39*AB88/AE88</f>
        <v>0</v>
      </c>
      <c r="CR39" s="5"/>
      <c r="CS39" s="5"/>
      <c r="DG39" s="5"/>
    </row>
    <row r="40" spans="2:111" ht="15" customHeight="1" x14ac:dyDescent="0.2">
      <c r="B40" s="81" t="s">
        <v>109</v>
      </c>
      <c r="C40" s="82">
        <v>7.2</v>
      </c>
      <c r="D40" s="83">
        <f t="shared" si="17"/>
        <v>0</v>
      </c>
      <c r="E40" s="84">
        <f>CP61</f>
        <v>0</v>
      </c>
      <c r="F40" s="85">
        <f>CQ61</f>
        <v>0</v>
      </c>
      <c r="L40" s="122"/>
      <c r="M40" s="123" t="s">
        <v>21</v>
      </c>
      <c r="N40" s="124"/>
      <c r="O40" s="42">
        <v>300</v>
      </c>
      <c r="P40" s="35">
        <v>0.01</v>
      </c>
      <c r="Q40" s="125"/>
      <c r="R40" s="50">
        <f>O40*P40</f>
        <v>3</v>
      </c>
      <c r="S40" s="125">
        <f>SUM(S38:S39)</f>
        <v>0</v>
      </c>
      <c r="T40" s="126">
        <f>SUM(T38:T39)</f>
        <v>3</v>
      </c>
      <c r="U40" s="5"/>
      <c r="W40" s="8"/>
      <c r="X40" s="5"/>
      <c r="Y40" s="5"/>
      <c r="Z40" s="9"/>
      <c r="AA40" s="9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/>
      <c r="BB40"/>
      <c r="BC40"/>
      <c r="BD40"/>
      <c r="BE40"/>
      <c r="BF40"/>
      <c r="BG40"/>
      <c r="BU40" s="56"/>
      <c r="BV40" s="57"/>
      <c r="BW40" s="35"/>
      <c r="BX40" s="35"/>
      <c r="BY40" s="36">
        <f t="shared" si="22"/>
        <v>0</v>
      </c>
      <c r="BZ40" s="78"/>
      <c r="CA40" s="36">
        <f t="shared" si="23"/>
        <v>0</v>
      </c>
      <c r="CB40" s="38">
        <f>CA40*AB88/AE88</f>
        <v>0</v>
      </c>
      <c r="CC40" s="5"/>
      <c r="CD40" s="5"/>
      <c r="CE40" s="5"/>
      <c r="CF40" s="5"/>
      <c r="CJ40" s="56"/>
      <c r="CK40" s="57"/>
      <c r="CL40" s="35"/>
      <c r="CM40" s="35"/>
      <c r="CN40" s="36">
        <f t="shared" si="20"/>
        <v>0</v>
      </c>
      <c r="CO40" s="104"/>
      <c r="CP40" s="60"/>
      <c r="CQ40" s="38">
        <f>CP40*AB88/AE88</f>
        <v>0</v>
      </c>
      <c r="CR40" s="5"/>
      <c r="CS40" s="5"/>
      <c r="DG40" s="5"/>
    </row>
    <row r="41" spans="2:111" ht="15" customHeight="1" x14ac:dyDescent="0.25">
      <c r="B41" s="81" t="s">
        <v>84</v>
      </c>
      <c r="C41" s="82">
        <v>7.3</v>
      </c>
      <c r="D41" s="83">
        <f t="shared" si="17"/>
        <v>0</v>
      </c>
      <c r="E41" s="84">
        <f>(CQ41+CU93)*D10</f>
        <v>0</v>
      </c>
      <c r="F41" s="85">
        <f>CV93*D10</f>
        <v>0</v>
      </c>
      <c r="L41" s="5"/>
      <c r="M41" s="5"/>
      <c r="N41" s="5"/>
      <c r="O41" s="5"/>
      <c r="P41" s="5"/>
      <c r="Q41" s="5"/>
      <c r="R41" s="5"/>
      <c r="S41" s="5"/>
      <c r="T41" s="5"/>
      <c r="U41" s="5"/>
      <c r="W41" s="182" t="s">
        <v>110</v>
      </c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5"/>
      <c r="AK41" s="5"/>
      <c r="AL41" s="182" t="s">
        <v>111</v>
      </c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5"/>
      <c r="AZ41" s="5"/>
      <c r="BA41" s="172" t="s">
        <v>112</v>
      </c>
      <c r="BB41" s="172"/>
      <c r="BC41" s="172"/>
      <c r="BD41" s="172"/>
      <c r="BE41" s="172"/>
      <c r="BF41" s="172"/>
      <c r="BG41" s="172"/>
      <c r="BU41" s="56"/>
      <c r="BV41" s="57"/>
      <c r="BW41" s="35"/>
      <c r="BX41" s="35"/>
      <c r="BY41" s="36">
        <f t="shared" si="22"/>
        <v>0</v>
      </c>
      <c r="BZ41" s="78"/>
      <c r="CA41" s="60"/>
      <c r="CB41" s="38">
        <f>CA41*AB88/AE88</f>
        <v>0</v>
      </c>
      <c r="CC41" s="5"/>
      <c r="CD41" s="5"/>
      <c r="CE41" s="5"/>
      <c r="CF41" s="5"/>
      <c r="CJ41" s="171" t="s">
        <v>21</v>
      </c>
      <c r="CK41" s="171"/>
      <c r="CL41" s="171"/>
      <c r="CM41" s="171"/>
      <c r="CN41" s="90">
        <f>SUM(CN21:CN40)</f>
        <v>0</v>
      </c>
      <c r="CO41" s="119"/>
      <c r="CP41" s="90"/>
      <c r="CQ41" s="120">
        <f>SUM(CQ21:CQ40)</f>
        <v>0</v>
      </c>
      <c r="CR41" s="5"/>
      <c r="CS41" s="5"/>
      <c r="DG41" s="5"/>
    </row>
    <row r="42" spans="2:111" ht="15" customHeight="1" x14ac:dyDescent="0.25">
      <c r="B42" s="81" t="s">
        <v>113</v>
      </c>
      <c r="C42" s="82">
        <v>7.4</v>
      </c>
      <c r="D42" s="83">
        <f t="shared" si="17"/>
        <v>0</v>
      </c>
      <c r="E42" s="106"/>
      <c r="F42" s="85">
        <f>CX15*D10</f>
        <v>0</v>
      </c>
      <c r="L42" s="5"/>
      <c r="M42" s="5"/>
      <c r="N42" s="5"/>
      <c r="O42" s="5"/>
      <c r="P42" s="5"/>
      <c r="Q42" s="5"/>
      <c r="R42" s="5"/>
      <c r="S42" s="5"/>
      <c r="T42" s="5"/>
      <c r="U42" s="5"/>
      <c r="W42" s="8"/>
      <c r="X42" s="5"/>
      <c r="Y42" s="5"/>
      <c r="Z42" s="9"/>
      <c r="AA42" s="9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8"/>
      <c r="AM42" s="5"/>
      <c r="AN42" s="5"/>
      <c r="AO42" s="9"/>
      <c r="AP42" s="9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10"/>
      <c r="BD42" s="5"/>
      <c r="BE42" s="5"/>
      <c r="BF42" s="5"/>
      <c r="BG42" s="5"/>
      <c r="BU42" s="171" t="s">
        <v>21</v>
      </c>
      <c r="BV42" s="171"/>
      <c r="BW42" s="171"/>
      <c r="BX42" s="171"/>
      <c r="BY42" s="119">
        <f>SUM(BY22:BY41)</f>
        <v>0</v>
      </c>
      <c r="BZ42" s="119"/>
      <c r="CA42" s="90"/>
      <c r="CB42" s="120">
        <f>SUM(CB22:CB41)</f>
        <v>0</v>
      </c>
      <c r="CC42" s="5"/>
      <c r="CD42" s="5"/>
      <c r="CE42" s="5"/>
      <c r="CF42" s="5"/>
      <c r="CJ42" s="5"/>
      <c r="CK42" s="5"/>
      <c r="CL42" s="5"/>
      <c r="CM42" s="5"/>
      <c r="CN42" s="5"/>
      <c r="CO42" s="5"/>
      <c r="CP42" s="127"/>
      <c r="CQ42" s="127"/>
      <c r="CR42" s="5"/>
      <c r="CS42" s="5"/>
      <c r="DG42" s="5"/>
    </row>
    <row r="43" spans="2:111" ht="33.6" customHeight="1" x14ac:dyDescent="0.25">
      <c r="B43" s="105" t="s">
        <v>114</v>
      </c>
      <c r="C43" s="82">
        <v>7.5</v>
      </c>
      <c r="D43" s="83">
        <f t="shared" si="17"/>
        <v>0</v>
      </c>
      <c r="E43" s="106"/>
      <c r="F43" s="103"/>
      <c r="L43" s="5"/>
      <c r="M43" s="5"/>
      <c r="N43" s="5"/>
      <c r="O43" s="5"/>
      <c r="P43" s="5"/>
      <c r="Q43" s="5"/>
      <c r="R43" s="5"/>
      <c r="S43" s="5"/>
      <c r="T43" s="5"/>
      <c r="U43" s="5"/>
      <c r="W43" s="15" t="s">
        <v>22</v>
      </c>
      <c r="X43" s="16" t="s">
        <v>23</v>
      </c>
      <c r="Y43" s="179" t="s">
        <v>24</v>
      </c>
      <c r="Z43" s="179"/>
      <c r="AA43" s="180" t="s">
        <v>115</v>
      </c>
      <c r="AB43" s="180"/>
      <c r="AC43" s="180" t="s">
        <v>26</v>
      </c>
      <c r="AD43" s="180"/>
      <c r="AE43" s="16" t="s">
        <v>116</v>
      </c>
      <c r="AF43" s="180" t="s">
        <v>28</v>
      </c>
      <c r="AG43" s="180"/>
      <c r="AH43" s="181" t="s">
        <v>117</v>
      </c>
      <c r="AI43" s="181"/>
      <c r="AJ43" s="5"/>
      <c r="AK43" s="5"/>
      <c r="AL43" s="15" t="s">
        <v>22</v>
      </c>
      <c r="AM43" s="16" t="s">
        <v>23</v>
      </c>
      <c r="AN43" s="179" t="s">
        <v>24</v>
      </c>
      <c r="AO43" s="179"/>
      <c r="AP43" s="180" t="s">
        <v>88</v>
      </c>
      <c r="AQ43" s="180"/>
      <c r="AR43" s="180" t="s">
        <v>26</v>
      </c>
      <c r="AS43" s="180"/>
      <c r="AT43" s="16" t="s">
        <v>116</v>
      </c>
      <c r="AU43" s="180" t="s">
        <v>28</v>
      </c>
      <c r="AV43" s="180"/>
      <c r="AW43" s="181" t="s">
        <v>117</v>
      </c>
      <c r="AX43" s="181"/>
      <c r="AY43" s="5"/>
      <c r="AZ43" s="5"/>
      <c r="BA43" s="21" t="s">
        <v>31</v>
      </c>
      <c r="BB43" s="22" t="s">
        <v>32</v>
      </c>
      <c r="BC43" s="23" t="s">
        <v>33</v>
      </c>
      <c r="BD43" s="23" t="s">
        <v>34</v>
      </c>
      <c r="BE43" s="23" t="s">
        <v>35</v>
      </c>
      <c r="BF43" s="23" t="s">
        <v>36</v>
      </c>
      <c r="BG43" s="24" t="s">
        <v>37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DG43" s="5"/>
    </row>
    <row r="44" spans="2:111" ht="15" customHeight="1" x14ac:dyDescent="0.25">
      <c r="B44" s="105" t="s">
        <v>118</v>
      </c>
      <c r="C44" s="82">
        <v>7.6</v>
      </c>
      <c r="D44" s="83">
        <f t="shared" si="17"/>
        <v>0</v>
      </c>
      <c r="E44" s="106"/>
      <c r="F44" s="103"/>
      <c r="L44" s="5"/>
      <c r="M44" s="5"/>
      <c r="N44" s="5"/>
      <c r="O44" s="5"/>
      <c r="P44" s="5"/>
      <c r="Q44" s="5"/>
      <c r="R44" s="5"/>
      <c r="S44" s="5"/>
      <c r="T44" s="5"/>
      <c r="U44" s="5"/>
      <c r="W44" s="128"/>
      <c r="X44" s="129"/>
      <c r="Y44" s="130" t="s">
        <v>119</v>
      </c>
      <c r="Z44" s="131" t="s">
        <v>45</v>
      </c>
      <c r="AA44" s="130" t="s">
        <v>119</v>
      </c>
      <c r="AB44" s="131" t="s">
        <v>45</v>
      </c>
      <c r="AC44" s="130" t="s">
        <v>119</v>
      </c>
      <c r="AD44" s="131" t="s">
        <v>45</v>
      </c>
      <c r="AE44" s="131" t="s">
        <v>120</v>
      </c>
      <c r="AF44" s="130" t="s">
        <v>119</v>
      </c>
      <c r="AG44" s="131" t="s">
        <v>45</v>
      </c>
      <c r="AH44" s="130" t="s">
        <v>119</v>
      </c>
      <c r="AI44" s="132" t="s">
        <v>45</v>
      </c>
      <c r="AJ44" s="5"/>
      <c r="AK44" s="5"/>
      <c r="AL44" s="128"/>
      <c r="AM44" s="129"/>
      <c r="AN44" s="130" t="s">
        <v>119</v>
      </c>
      <c r="AO44" s="131" t="s">
        <v>45</v>
      </c>
      <c r="AP44" s="130" t="s">
        <v>119</v>
      </c>
      <c r="AQ44" s="131" t="s">
        <v>45</v>
      </c>
      <c r="AR44" s="130" t="s">
        <v>119</v>
      </c>
      <c r="AS44" s="131" t="s">
        <v>45</v>
      </c>
      <c r="AT44" s="131" t="s">
        <v>120</v>
      </c>
      <c r="AU44" s="130" t="s">
        <v>119</v>
      </c>
      <c r="AV44" s="131" t="s">
        <v>45</v>
      </c>
      <c r="AW44" s="130" t="s">
        <v>119</v>
      </c>
      <c r="AX44" s="132" t="s">
        <v>45</v>
      </c>
      <c r="AY44" s="5"/>
      <c r="AZ44" s="5"/>
      <c r="BA44" s="40"/>
      <c r="BB44" s="41"/>
      <c r="BC44" s="42"/>
      <c r="BD44" s="35"/>
      <c r="BE44" s="43">
        <f t="shared" ref="BE44:BE54" si="24">BD44/190.6</f>
        <v>0</v>
      </c>
      <c r="BF44" s="35"/>
      <c r="BG44" s="44">
        <f t="shared" ref="BG44:BG54" si="25">BE44*BF44*BB44</f>
        <v>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</row>
    <row r="45" spans="2:111" ht="15" customHeight="1" x14ac:dyDescent="0.25">
      <c r="B45" s="93" t="s">
        <v>11</v>
      </c>
      <c r="C45" s="94">
        <v>8</v>
      </c>
      <c r="D45" s="73">
        <f t="shared" si="17"/>
        <v>0</v>
      </c>
      <c r="E45" s="95">
        <f>SUM(E46:E50)</f>
        <v>0</v>
      </c>
      <c r="F45" s="96">
        <f>SUM(F46:F50)</f>
        <v>0</v>
      </c>
      <c r="L45" s="172" t="s">
        <v>121</v>
      </c>
      <c r="M45" s="172"/>
      <c r="N45" s="172"/>
      <c r="O45" s="172"/>
      <c r="P45" s="172"/>
      <c r="Q45" s="172"/>
      <c r="R45" s="172"/>
      <c r="S45" s="172"/>
      <c r="T45" s="172"/>
      <c r="U45" s="5"/>
      <c r="W45" s="56"/>
      <c r="X45" s="133" t="s">
        <v>152</v>
      </c>
      <c r="Y45" s="35">
        <v>10107.5</v>
      </c>
      <c r="Z45" s="35"/>
      <c r="AA45" s="35"/>
      <c r="AB45" s="35"/>
      <c r="AC45" s="60">
        <f t="shared" ref="AC45:AC54" si="26">Y45-AA45</f>
        <v>10107.5</v>
      </c>
      <c r="AD45" s="60">
        <f t="shared" ref="AD45:AD54" si="27">Z45-AB45</f>
        <v>0</v>
      </c>
      <c r="AE45" s="78">
        <v>6</v>
      </c>
      <c r="AF45" s="60">
        <f t="shared" ref="AF45:AF54" si="28">AC45*AE45%</f>
        <v>606.44999999999993</v>
      </c>
      <c r="AG45" s="60">
        <f t="shared" ref="AG45:AG54" si="29">AD45*AE45%</f>
        <v>0</v>
      </c>
      <c r="AH45" s="134">
        <f>AF45*AB88/AE88</f>
        <v>8.7738715277777771E-4</v>
      </c>
      <c r="AI45" s="61">
        <f>AG45*AB88/AE88</f>
        <v>0</v>
      </c>
      <c r="AJ45" s="5"/>
      <c r="AK45" s="5"/>
      <c r="AL45" s="56"/>
      <c r="AM45" s="57"/>
      <c r="AN45" s="35"/>
      <c r="AO45" s="35"/>
      <c r="AP45" s="35"/>
      <c r="AQ45" s="35"/>
      <c r="AR45" s="60">
        <f t="shared" ref="AR45:AR54" si="30">AN45-AP45</f>
        <v>0</v>
      </c>
      <c r="AS45" s="60">
        <f t="shared" ref="AS45:AS54" si="31">AO45-AQ45</f>
        <v>0</v>
      </c>
      <c r="AT45" s="78">
        <v>6</v>
      </c>
      <c r="AU45" s="60">
        <f t="shared" ref="AU45:AU54" si="32">AR45*AT45%</f>
        <v>0</v>
      </c>
      <c r="AV45" s="60">
        <f t="shared" ref="AV45:AV54" si="33">AS45*AT45%</f>
        <v>0</v>
      </c>
      <c r="AW45" s="134">
        <f>AU45*AB88/AE88</f>
        <v>0</v>
      </c>
      <c r="AX45" s="61">
        <f>AV45*AB88/AE88</f>
        <v>0</v>
      </c>
      <c r="AY45" s="5"/>
      <c r="AZ45" s="5"/>
      <c r="BA45" s="40"/>
      <c r="BB45" s="41"/>
      <c r="BC45" s="42"/>
      <c r="BD45" s="35"/>
      <c r="BE45" s="43">
        <f t="shared" si="24"/>
        <v>0</v>
      </c>
      <c r="BF45" s="35"/>
      <c r="BG45" s="44">
        <f t="shared" si="25"/>
        <v>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</row>
    <row r="46" spans="2:111" ht="15" customHeight="1" x14ac:dyDescent="0.2">
      <c r="B46" s="81" t="s">
        <v>108</v>
      </c>
      <c r="C46" s="82">
        <v>8.1</v>
      </c>
      <c r="D46" s="83">
        <f t="shared" si="17"/>
        <v>0</v>
      </c>
      <c r="E46" s="84">
        <f>CA15</f>
        <v>0</v>
      </c>
      <c r="F46" s="85">
        <f>CB15</f>
        <v>0</v>
      </c>
      <c r="L46" s="5"/>
      <c r="M46" s="5"/>
      <c r="N46" s="5"/>
      <c r="O46" s="5"/>
      <c r="P46" s="5"/>
      <c r="Q46" s="5"/>
      <c r="R46" s="5"/>
      <c r="S46" s="5"/>
      <c r="T46" s="5"/>
      <c r="U46" s="5"/>
      <c r="W46" s="56"/>
      <c r="X46" s="57" t="s">
        <v>122</v>
      </c>
      <c r="Y46" s="35">
        <v>7628.1</v>
      </c>
      <c r="Z46" s="35"/>
      <c r="AA46" s="35"/>
      <c r="AB46" s="35"/>
      <c r="AC46" s="60">
        <f t="shared" si="26"/>
        <v>7628.1</v>
      </c>
      <c r="AD46" s="60">
        <f t="shared" si="27"/>
        <v>0</v>
      </c>
      <c r="AE46" s="78">
        <v>6</v>
      </c>
      <c r="AF46" s="60">
        <f t="shared" si="28"/>
        <v>457.68599999999998</v>
      </c>
      <c r="AG46" s="60">
        <f t="shared" si="29"/>
        <v>0</v>
      </c>
      <c r="AH46" s="134">
        <f>AF46*AB88/AE88</f>
        <v>6.6216145833333329E-4</v>
      </c>
      <c r="AI46" s="61">
        <f>AG46*AB88/AE88</f>
        <v>0</v>
      </c>
      <c r="AJ46" s="5"/>
      <c r="AK46" s="5"/>
      <c r="AL46" s="56"/>
      <c r="AM46" s="57"/>
      <c r="AN46" s="35"/>
      <c r="AO46" s="35"/>
      <c r="AP46" s="35"/>
      <c r="AQ46" s="35"/>
      <c r="AR46" s="60">
        <f t="shared" si="30"/>
        <v>0</v>
      </c>
      <c r="AS46" s="60">
        <f t="shared" si="31"/>
        <v>0</v>
      </c>
      <c r="AT46" s="78">
        <v>6</v>
      </c>
      <c r="AU46" s="60">
        <f t="shared" si="32"/>
        <v>0</v>
      </c>
      <c r="AV46" s="60">
        <f t="shared" si="33"/>
        <v>0</v>
      </c>
      <c r="AW46" s="134">
        <f>AU46*AB88/AE88</f>
        <v>0</v>
      </c>
      <c r="AX46" s="61">
        <f>AV46*AB88/AE88</f>
        <v>0</v>
      </c>
      <c r="AY46" s="5"/>
      <c r="AZ46" s="5"/>
      <c r="BA46" s="40"/>
      <c r="BB46" s="41"/>
      <c r="BC46" s="42"/>
      <c r="BD46" s="35"/>
      <c r="BE46" s="43">
        <f t="shared" si="24"/>
        <v>0</v>
      </c>
      <c r="BF46" s="35"/>
      <c r="BG46" s="44">
        <f t="shared" si="25"/>
        <v>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</row>
    <row r="47" spans="2:111" ht="15" customHeight="1" x14ac:dyDescent="0.25">
      <c r="B47" s="81" t="s">
        <v>109</v>
      </c>
      <c r="C47" s="82">
        <v>8.1999999999999993</v>
      </c>
      <c r="D47" s="83">
        <f t="shared" si="17"/>
        <v>0</v>
      </c>
      <c r="E47" s="84">
        <f>CA62</f>
        <v>0</v>
      </c>
      <c r="F47" s="85">
        <f>CB62</f>
        <v>0</v>
      </c>
      <c r="L47" s="200" t="s">
        <v>38</v>
      </c>
      <c r="M47" s="201" t="s">
        <v>123</v>
      </c>
      <c r="N47" s="202" t="s">
        <v>124</v>
      </c>
      <c r="O47" s="202" t="s">
        <v>125</v>
      </c>
      <c r="P47" s="201" t="s">
        <v>19</v>
      </c>
      <c r="Q47" s="201"/>
      <c r="R47" s="201" t="s">
        <v>20</v>
      </c>
      <c r="S47" s="201"/>
      <c r="T47" s="203" t="s">
        <v>21</v>
      </c>
      <c r="U47" s="5"/>
      <c r="W47" s="56"/>
      <c r="X47" s="57" t="s">
        <v>126</v>
      </c>
      <c r="Y47" s="35">
        <v>5434.3140000000003</v>
      </c>
      <c r="Z47" s="35"/>
      <c r="AA47" s="35"/>
      <c r="AB47" s="35"/>
      <c r="AC47" s="60">
        <f t="shared" si="26"/>
        <v>5434.3140000000003</v>
      </c>
      <c r="AD47" s="60">
        <f t="shared" si="27"/>
        <v>0</v>
      </c>
      <c r="AE47" s="78">
        <v>3</v>
      </c>
      <c r="AF47" s="60">
        <f t="shared" si="28"/>
        <v>163.02942000000002</v>
      </c>
      <c r="AG47" s="60">
        <f t="shared" si="29"/>
        <v>0</v>
      </c>
      <c r="AH47" s="134">
        <f>AF47*AB88/AE88</f>
        <v>2.3586432291666668E-4</v>
      </c>
      <c r="AI47" s="61">
        <f>AG47*AB88/AE88</f>
        <v>0</v>
      </c>
      <c r="AJ47" s="5"/>
      <c r="AK47" s="5"/>
      <c r="AL47" s="56"/>
      <c r="AM47" s="57"/>
      <c r="AN47" s="35"/>
      <c r="AO47" s="35"/>
      <c r="AP47" s="35"/>
      <c r="AQ47" s="35"/>
      <c r="AR47" s="60">
        <f t="shared" si="30"/>
        <v>0</v>
      </c>
      <c r="AS47" s="60">
        <f t="shared" si="31"/>
        <v>0</v>
      </c>
      <c r="AT47" s="78">
        <v>3</v>
      </c>
      <c r="AU47" s="60">
        <f t="shared" si="32"/>
        <v>0</v>
      </c>
      <c r="AV47" s="60">
        <f t="shared" si="33"/>
        <v>0</v>
      </c>
      <c r="AW47" s="134">
        <f>AU47*AB88/AE88</f>
        <v>0</v>
      </c>
      <c r="AX47" s="61">
        <f>AV47*AB88/AE88</f>
        <v>0</v>
      </c>
      <c r="AY47" s="5"/>
      <c r="AZ47" s="5"/>
      <c r="BA47" s="40"/>
      <c r="BB47" s="41"/>
      <c r="BC47" s="42"/>
      <c r="BD47" s="35"/>
      <c r="BE47" s="43">
        <f t="shared" si="24"/>
        <v>0</v>
      </c>
      <c r="BF47" s="35"/>
      <c r="BG47" s="44">
        <f t="shared" si="25"/>
        <v>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J47" s="172" t="s">
        <v>121</v>
      </c>
      <c r="CK47" s="172"/>
      <c r="CL47" s="172"/>
      <c r="CM47" s="172"/>
      <c r="CN47" s="172"/>
      <c r="CO47" s="172"/>
      <c r="CP47" s="172"/>
      <c r="CQ47" s="172"/>
      <c r="CR47" s="172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</row>
    <row r="48" spans="2:111" ht="15" customHeight="1" x14ac:dyDescent="0.25">
      <c r="B48" s="81" t="s">
        <v>84</v>
      </c>
      <c r="C48" s="82">
        <v>8.3000000000000007</v>
      </c>
      <c r="D48" s="83">
        <f t="shared" si="17"/>
        <v>0</v>
      </c>
      <c r="E48" s="84">
        <f>(CB42+CF92)*D10</f>
        <v>0</v>
      </c>
      <c r="F48" s="85">
        <f>CG92*D10</f>
        <v>0</v>
      </c>
      <c r="L48" s="200"/>
      <c r="M48" s="201"/>
      <c r="N48" s="202"/>
      <c r="O48" s="202"/>
      <c r="P48" s="45" t="s">
        <v>44</v>
      </c>
      <c r="Q48" s="45" t="s">
        <v>45</v>
      </c>
      <c r="R48" s="45" t="s">
        <v>44</v>
      </c>
      <c r="S48" s="45" t="s">
        <v>45</v>
      </c>
      <c r="T48" s="203"/>
      <c r="U48" s="5"/>
      <c r="W48" s="56"/>
      <c r="X48" s="57" t="s">
        <v>153</v>
      </c>
      <c r="Y48" s="35">
        <v>777.49</v>
      </c>
      <c r="Z48" s="35"/>
      <c r="AA48" s="35"/>
      <c r="AB48" s="35"/>
      <c r="AC48" s="60">
        <f t="shared" si="26"/>
        <v>777.49</v>
      </c>
      <c r="AD48" s="60">
        <f t="shared" si="27"/>
        <v>0</v>
      </c>
      <c r="AE48" s="78">
        <v>3</v>
      </c>
      <c r="AF48" s="60">
        <f t="shared" si="28"/>
        <v>23.3247</v>
      </c>
      <c r="AG48" s="60">
        <f t="shared" si="29"/>
        <v>0</v>
      </c>
      <c r="AH48" s="134">
        <f>AF48*AB88/AE88</f>
        <v>3.3745225694444446E-5</v>
      </c>
      <c r="AI48" s="61">
        <f>AG48*AB88/AE88</f>
        <v>0</v>
      </c>
      <c r="AJ48" s="5"/>
      <c r="AK48" s="5"/>
      <c r="AL48" s="56"/>
      <c r="AM48" s="57"/>
      <c r="AN48" s="35"/>
      <c r="AO48" s="35"/>
      <c r="AP48" s="35"/>
      <c r="AQ48" s="35"/>
      <c r="AR48" s="60">
        <f t="shared" si="30"/>
        <v>0</v>
      </c>
      <c r="AS48" s="60">
        <f t="shared" si="31"/>
        <v>0</v>
      </c>
      <c r="AT48" s="78">
        <v>3</v>
      </c>
      <c r="AU48" s="60">
        <f t="shared" si="32"/>
        <v>0</v>
      </c>
      <c r="AV48" s="60">
        <f t="shared" si="33"/>
        <v>0</v>
      </c>
      <c r="AW48" s="134">
        <f>AU48*AB88/AE88</f>
        <v>0</v>
      </c>
      <c r="AX48" s="61">
        <f>AV48*AB88/AE88</f>
        <v>0</v>
      </c>
      <c r="AY48" s="5"/>
      <c r="AZ48" s="5"/>
      <c r="BA48" s="40"/>
      <c r="BB48" s="41"/>
      <c r="BC48" s="42"/>
      <c r="BD48" s="35"/>
      <c r="BE48" s="43">
        <f t="shared" si="24"/>
        <v>0</v>
      </c>
      <c r="BF48" s="35"/>
      <c r="BG48" s="44">
        <f t="shared" si="25"/>
        <v>0</v>
      </c>
      <c r="BU48" s="172" t="s">
        <v>121</v>
      </c>
      <c r="BV48" s="172"/>
      <c r="BW48" s="172"/>
      <c r="BX48" s="172"/>
      <c r="BY48" s="172"/>
      <c r="BZ48" s="172"/>
      <c r="CA48" s="172"/>
      <c r="CB48" s="172"/>
      <c r="CC48" s="172"/>
      <c r="CD48" s="5"/>
      <c r="CE48" s="5"/>
      <c r="CF48" s="5"/>
      <c r="CG48" s="5"/>
      <c r="CH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</row>
    <row r="49" spans="2:111" ht="15" customHeight="1" x14ac:dyDescent="0.25">
      <c r="B49" s="81" t="s">
        <v>127</v>
      </c>
      <c r="C49" s="82">
        <v>8.4</v>
      </c>
      <c r="D49" s="83">
        <f t="shared" si="17"/>
        <v>0</v>
      </c>
      <c r="E49" s="106"/>
      <c r="F49" s="85">
        <f>DA15*D10</f>
        <v>0</v>
      </c>
      <c r="L49" s="40"/>
      <c r="M49" s="133" t="s">
        <v>152</v>
      </c>
      <c r="N49" s="42">
        <v>1</v>
      </c>
      <c r="O49" s="42">
        <v>8</v>
      </c>
      <c r="P49" s="35">
        <v>0.18</v>
      </c>
      <c r="Q49" s="35">
        <v>0</v>
      </c>
      <c r="R49" s="53">
        <f t="shared" ref="R49:R54" si="34">N49*O49*P49</f>
        <v>1.44</v>
      </c>
      <c r="S49" s="53">
        <f t="shared" ref="S49:S54" si="35">N49*O49*Q49</f>
        <v>0</v>
      </c>
      <c r="T49" s="44">
        <f t="shared" ref="T49:T54" si="36">R49+S49</f>
        <v>1.44</v>
      </c>
      <c r="U49" s="5"/>
      <c r="W49" s="56"/>
      <c r="X49" s="57" t="s">
        <v>128</v>
      </c>
      <c r="Y49" s="35">
        <v>1999</v>
      </c>
      <c r="Z49" s="35"/>
      <c r="AA49" s="35"/>
      <c r="AB49" s="35"/>
      <c r="AC49" s="60">
        <f t="shared" si="26"/>
        <v>1999</v>
      </c>
      <c r="AD49" s="60">
        <f t="shared" si="27"/>
        <v>0</v>
      </c>
      <c r="AE49" s="78">
        <v>3</v>
      </c>
      <c r="AF49" s="60">
        <f t="shared" si="28"/>
        <v>59.97</v>
      </c>
      <c r="AG49" s="60">
        <f t="shared" si="29"/>
        <v>0</v>
      </c>
      <c r="AH49" s="134">
        <f>AF49*AB88/AE88</f>
        <v>8.6762152777777781E-5</v>
      </c>
      <c r="AI49" s="61">
        <f>AG49*AB88/AE88</f>
        <v>0</v>
      </c>
      <c r="AJ49" s="5"/>
      <c r="AK49" s="5"/>
      <c r="AL49" s="56"/>
      <c r="AM49" s="57"/>
      <c r="AN49" s="35"/>
      <c r="AO49" s="35"/>
      <c r="AP49" s="35"/>
      <c r="AQ49" s="35"/>
      <c r="AR49" s="60">
        <f t="shared" si="30"/>
        <v>0</v>
      </c>
      <c r="AS49" s="60">
        <f t="shared" si="31"/>
        <v>0</v>
      </c>
      <c r="AT49" s="78">
        <v>3</v>
      </c>
      <c r="AU49" s="60">
        <f t="shared" si="32"/>
        <v>0</v>
      </c>
      <c r="AV49" s="60">
        <f t="shared" si="33"/>
        <v>0</v>
      </c>
      <c r="AW49" s="134">
        <f>AU49*AB88/AE88</f>
        <v>0</v>
      </c>
      <c r="AX49" s="61">
        <f>AV49*AB88/AE88</f>
        <v>0</v>
      </c>
      <c r="AY49" s="5"/>
      <c r="AZ49" s="5"/>
      <c r="BA49" s="40"/>
      <c r="BB49" s="41"/>
      <c r="BC49" s="42"/>
      <c r="BD49" s="35"/>
      <c r="BE49" s="43">
        <f t="shared" si="24"/>
        <v>0</v>
      </c>
      <c r="BF49" s="35"/>
      <c r="BG49" s="44">
        <f t="shared" si="25"/>
        <v>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J49" s="199" t="s">
        <v>38</v>
      </c>
      <c r="CK49" s="197" t="s">
        <v>123</v>
      </c>
      <c r="CL49" s="180" t="s">
        <v>129</v>
      </c>
      <c r="CM49" s="180" t="s">
        <v>36</v>
      </c>
      <c r="CN49" s="197" t="s">
        <v>19</v>
      </c>
      <c r="CO49" s="197"/>
      <c r="CP49" s="197" t="s">
        <v>20</v>
      </c>
      <c r="CQ49" s="197"/>
      <c r="CR49" s="198" t="s">
        <v>21</v>
      </c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</row>
    <row r="50" spans="2:111" ht="15" customHeight="1" x14ac:dyDescent="0.25">
      <c r="B50" s="105" t="s">
        <v>118</v>
      </c>
      <c r="C50" s="82">
        <v>8.5</v>
      </c>
      <c r="D50" s="83">
        <f t="shared" si="17"/>
        <v>0</v>
      </c>
      <c r="E50" s="106"/>
      <c r="F50" s="135"/>
      <c r="L50" s="40"/>
      <c r="M50" s="57" t="s">
        <v>122</v>
      </c>
      <c r="N50" s="42">
        <v>1</v>
      </c>
      <c r="O50" s="42">
        <v>8</v>
      </c>
      <c r="P50" s="35">
        <v>0.18</v>
      </c>
      <c r="Q50" s="35"/>
      <c r="R50" s="53">
        <f t="shared" si="34"/>
        <v>1.44</v>
      </c>
      <c r="S50" s="53">
        <f t="shared" si="35"/>
        <v>0</v>
      </c>
      <c r="T50" s="44">
        <f t="shared" si="36"/>
        <v>1.44</v>
      </c>
      <c r="U50" s="5"/>
      <c r="W50" s="56"/>
      <c r="X50" s="57"/>
      <c r="Y50" s="35"/>
      <c r="Z50" s="35"/>
      <c r="AA50" s="35"/>
      <c r="AB50" s="35"/>
      <c r="AC50" s="60">
        <f t="shared" si="26"/>
        <v>0</v>
      </c>
      <c r="AD50" s="60">
        <f t="shared" si="27"/>
        <v>0</v>
      </c>
      <c r="AE50" s="78"/>
      <c r="AF50" s="60">
        <f t="shared" si="28"/>
        <v>0</v>
      </c>
      <c r="AG50" s="60">
        <f t="shared" si="29"/>
        <v>0</v>
      </c>
      <c r="AH50" s="134">
        <f>AF50*AB88/AE88</f>
        <v>0</v>
      </c>
      <c r="AI50" s="61">
        <f>AG50*AB88/AE88</f>
        <v>0</v>
      </c>
      <c r="AJ50" s="5"/>
      <c r="AK50" s="5"/>
      <c r="AL50" s="56"/>
      <c r="AM50" s="57"/>
      <c r="AN50" s="35"/>
      <c r="AO50" s="35"/>
      <c r="AP50" s="35"/>
      <c r="AQ50" s="35"/>
      <c r="AR50" s="60">
        <f t="shared" si="30"/>
        <v>0</v>
      </c>
      <c r="AS50" s="60">
        <f t="shared" si="31"/>
        <v>0</v>
      </c>
      <c r="AT50" s="78"/>
      <c r="AU50" s="60">
        <f t="shared" si="32"/>
        <v>0</v>
      </c>
      <c r="AV50" s="60">
        <f t="shared" si="33"/>
        <v>0</v>
      </c>
      <c r="AW50" s="134">
        <f>AU50*AB88/AE88</f>
        <v>0</v>
      </c>
      <c r="AX50" s="61">
        <f>AV50*AB88/AE88</f>
        <v>0</v>
      </c>
      <c r="AY50" s="5"/>
      <c r="AZ50" s="5"/>
      <c r="BA50" s="40"/>
      <c r="BB50" s="41"/>
      <c r="BC50" s="42"/>
      <c r="BD50" s="35"/>
      <c r="BE50" s="43">
        <f t="shared" si="24"/>
        <v>0</v>
      </c>
      <c r="BF50" s="35"/>
      <c r="BG50" s="44">
        <f t="shared" si="25"/>
        <v>0</v>
      </c>
      <c r="BU50" s="199" t="s">
        <v>38</v>
      </c>
      <c r="BV50" s="197" t="s">
        <v>123</v>
      </c>
      <c r="BW50" s="180" t="s">
        <v>129</v>
      </c>
      <c r="BX50" s="180" t="s">
        <v>36</v>
      </c>
      <c r="BY50" s="197" t="s">
        <v>19</v>
      </c>
      <c r="BZ50" s="197"/>
      <c r="CA50" s="197" t="s">
        <v>20</v>
      </c>
      <c r="CB50" s="197"/>
      <c r="CC50" s="198" t="s">
        <v>21</v>
      </c>
      <c r="CD50" s="5"/>
      <c r="CE50" s="5"/>
      <c r="CF50" s="5"/>
      <c r="CG50" s="5"/>
      <c r="CH50" s="5"/>
      <c r="CJ50" s="199"/>
      <c r="CK50" s="197"/>
      <c r="CL50" s="180"/>
      <c r="CM50" s="180"/>
      <c r="CN50" s="54" t="s">
        <v>44</v>
      </c>
      <c r="CO50" s="54" t="s">
        <v>130</v>
      </c>
      <c r="CP50" s="54" t="s">
        <v>44</v>
      </c>
      <c r="CQ50" s="54" t="s">
        <v>130</v>
      </c>
      <c r="CR50" s="198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</row>
    <row r="51" spans="2:111" ht="15" customHeight="1" x14ac:dyDescent="0.25">
      <c r="B51" s="93" t="s">
        <v>131</v>
      </c>
      <c r="C51" s="94">
        <v>9</v>
      </c>
      <c r="D51" s="83">
        <f t="shared" si="17"/>
        <v>0.19753086419753099</v>
      </c>
      <c r="E51" s="84">
        <v>0.19753086419753099</v>
      </c>
      <c r="F51" s="85">
        <v>0</v>
      </c>
      <c r="L51" s="40"/>
      <c r="M51" s="57" t="s">
        <v>126</v>
      </c>
      <c r="N51" s="42">
        <v>0.55000000000000004</v>
      </c>
      <c r="O51" s="42">
        <v>8</v>
      </c>
      <c r="P51" s="35">
        <v>0.18</v>
      </c>
      <c r="Q51" s="35"/>
      <c r="R51" s="53">
        <f t="shared" si="34"/>
        <v>0.79200000000000004</v>
      </c>
      <c r="S51" s="53">
        <f t="shared" si="35"/>
        <v>0</v>
      </c>
      <c r="T51" s="44">
        <f t="shared" si="36"/>
        <v>0.79200000000000004</v>
      </c>
      <c r="U51" s="5"/>
      <c r="W51" s="56"/>
      <c r="X51" s="57"/>
      <c r="Y51" s="35"/>
      <c r="Z51" s="35"/>
      <c r="AA51" s="35"/>
      <c r="AB51" s="35"/>
      <c r="AC51" s="60">
        <f t="shared" si="26"/>
        <v>0</v>
      </c>
      <c r="AD51" s="60">
        <f t="shared" si="27"/>
        <v>0</v>
      </c>
      <c r="AE51" s="78"/>
      <c r="AF51" s="60">
        <f t="shared" si="28"/>
        <v>0</v>
      </c>
      <c r="AG51" s="60">
        <f t="shared" si="29"/>
        <v>0</v>
      </c>
      <c r="AH51" s="134">
        <f>AF51*AB88/AE88</f>
        <v>0</v>
      </c>
      <c r="AI51" s="61">
        <f>AG51*AB88/AE88</f>
        <v>0</v>
      </c>
      <c r="AJ51" s="5"/>
      <c r="AK51" s="5"/>
      <c r="AL51" s="56"/>
      <c r="AM51" s="57"/>
      <c r="AN51" s="35"/>
      <c r="AO51" s="35"/>
      <c r="AP51" s="35"/>
      <c r="AQ51" s="35"/>
      <c r="AR51" s="60">
        <f t="shared" si="30"/>
        <v>0</v>
      </c>
      <c r="AS51" s="60">
        <f t="shared" si="31"/>
        <v>0</v>
      </c>
      <c r="AT51" s="78"/>
      <c r="AU51" s="60">
        <f t="shared" si="32"/>
        <v>0</v>
      </c>
      <c r="AV51" s="60">
        <f t="shared" si="33"/>
        <v>0</v>
      </c>
      <c r="AW51" s="134">
        <f>AU51*AB88/AE88</f>
        <v>0</v>
      </c>
      <c r="AX51" s="61">
        <f>AV51*AB88/AE88</f>
        <v>0</v>
      </c>
      <c r="AY51" s="5"/>
      <c r="AZ51" s="5"/>
      <c r="BA51" s="40"/>
      <c r="BB51" s="41"/>
      <c r="BC51" s="42"/>
      <c r="BD51" s="35"/>
      <c r="BE51" s="43">
        <f t="shared" si="24"/>
        <v>0</v>
      </c>
      <c r="BF51" s="35"/>
      <c r="BG51" s="44">
        <f t="shared" si="25"/>
        <v>0</v>
      </c>
      <c r="BU51" s="199"/>
      <c r="BV51" s="197"/>
      <c r="BW51" s="180"/>
      <c r="BX51" s="180"/>
      <c r="BY51" s="54" t="s">
        <v>44</v>
      </c>
      <c r="BZ51" s="54" t="s">
        <v>130</v>
      </c>
      <c r="CA51" s="54" t="s">
        <v>44</v>
      </c>
      <c r="CB51" s="54" t="s">
        <v>130</v>
      </c>
      <c r="CC51" s="198"/>
      <c r="CD51" s="5"/>
      <c r="CE51" s="5"/>
      <c r="CF51" s="5"/>
      <c r="CG51" s="5"/>
      <c r="CH51" s="5"/>
      <c r="CJ51" s="40"/>
      <c r="CK51" s="49"/>
      <c r="CL51" s="42"/>
      <c r="CM51" s="42"/>
      <c r="CN51" s="35"/>
      <c r="CO51" s="35"/>
      <c r="CP51" s="60">
        <f>CL51*CM51*CN51</f>
        <v>0</v>
      </c>
      <c r="CQ51" s="60">
        <f>CL51*CM51*CO51</f>
        <v>0</v>
      </c>
      <c r="CR51" s="61">
        <f>CP51+CQ51</f>
        <v>0</v>
      </c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</row>
    <row r="52" spans="2:111" ht="15" customHeight="1" x14ac:dyDescent="0.2">
      <c r="B52" s="93" t="s">
        <v>132</v>
      </c>
      <c r="C52" s="94">
        <v>10</v>
      </c>
      <c r="D52" s="73">
        <f t="shared" si="17"/>
        <v>590431.97752548975</v>
      </c>
      <c r="E52" s="95">
        <f>E13+E18</f>
        <v>590431.97752548975</v>
      </c>
      <c r="F52" s="96">
        <f>F13+F18</f>
        <v>0</v>
      </c>
      <c r="L52" s="40"/>
      <c r="M52" s="57" t="s">
        <v>153</v>
      </c>
      <c r="N52" s="42">
        <v>1.1000000000000001</v>
      </c>
      <c r="O52" s="42">
        <v>8</v>
      </c>
      <c r="P52" s="35">
        <v>0.18</v>
      </c>
      <c r="Q52" s="35"/>
      <c r="R52" s="53">
        <f t="shared" si="34"/>
        <v>1.5840000000000001</v>
      </c>
      <c r="S52" s="53">
        <f t="shared" si="35"/>
        <v>0</v>
      </c>
      <c r="T52" s="44">
        <f t="shared" si="36"/>
        <v>1.5840000000000001</v>
      </c>
      <c r="U52" s="5"/>
      <c r="W52" s="56"/>
      <c r="X52" s="57"/>
      <c r="Y52" s="35"/>
      <c r="Z52" s="35"/>
      <c r="AA52" s="35"/>
      <c r="AB52" s="35"/>
      <c r="AC52" s="60">
        <f t="shared" si="26"/>
        <v>0</v>
      </c>
      <c r="AD52" s="60">
        <f t="shared" si="27"/>
        <v>0</v>
      </c>
      <c r="AE52" s="78"/>
      <c r="AF52" s="60">
        <f t="shared" si="28"/>
        <v>0</v>
      </c>
      <c r="AG52" s="60">
        <f t="shared" si="29"/>
        <v>0</v>
      </c>
      <c r="AH52" s="134">
        <f>AF52*AB88/AE88</f>
        <v>0</v>
      </c>
      <c r="AI52" s="61">
        <f>AG52*AB88/AE88</f>
        <v>0</v>
      </c>
      <c r="AJ52" s="5"/>
      <c r="AK52" s="5"/>
      <c r="AL52" s="56"/>
      <c r="AM52" s="57"/>
      <c r="AN52" s="35"/>
      <c r="AO52" s="35"/>
      <c r="AP52" s="35"/>
      <c r="AQ52" s="35"/>
      <c r="AR52" s="60">
        <f t="shared" si="30"/>
        <v>0</v>
      </c>
      <c r="AS52" s="60">
        <f t="shared" si="31"/>
        <v>0</v>
      </c>
      <c r="AT52" s="78"/>
      <c r="AU52" s="60">
        <f t="shared" si="32"/>
        <v>0</v>
      </c>
      <c r="AV52" s="60">
        <f t="shared" si="33"/>
        <v>0</v>
      </c>
      <c r="AW52" s="134">
        <f>AU52*AB88/AE88</f>
        <v>0</v>
      </c>
      <c r="AX52" s="61">
        <f>AV52*AB88/AE88</f>
        <v>0</v>
      </c>
      <c r="AY52" s="5"/>
      <c r="AZ52" s="5"/>
      <c r="BA52" s="40"/>
      <c r="BB52" s="41"/>
      <c r="BC52" s="42"/>
      <c r="BD52" s="35"/>
      <c r="BE52" s="43">
        <f t="shared" si="24"/>
        <v>0</v>
      </c>
      <c r="BF52" s="35"/>
      <c r="BG52" s="44">
        <f t="shared" si="25"/>
        <v>0</v>
      </c>
      <c r="BU52" s="40"/>
      <c r="BV52" s="49"/>
      <c r="BW52" s="42"/>
      <c r="BX52" s="42"/>
      <c r="BY52" s="35"/>
      <c r="BZ52" s="35">
        <v>0.18</v>
      </c>
      <c r="CA52" s="60">
        <f>BW52*BX52*BY52</f>
        <v>0</v>
      </c>
      <c r="CB52" s="60">
        <f>BW52*BX52*BZ52</f>
        <v>0</v>
      </c>
      <c r="CC52" s="61">
        <f>CA52+CB52</f>
        <v>0</v>
      </c>
      <c r="CD52" s="5"/>
      <c r="CE52" s="5"/>
      <c r="CF52" s="5"/>
      <c r="CG52" s="5"/>
      <c r="CH52" s="5"/>
      <c r="CJ52" s="40"/>
      <c r="CK52" s="49"/>
      <c r="CL52" s="42"/>
      <c r="CM52" s="42"/>
      <c r="CN52" s="35"/>
      <c r="CO52" s="35"/>
      <c r="CP52" s="60">
        <f>CL52*CM52*CN52</f>
        <v>0</v>
      </c>
      <c r="CQ52" s="60">
        <f>CL52*CM52*CO52</f>
        <v>0</v>
      </c>
      <c r="CR52" s="61">
        <f>CP52+CQ52</f>
        <v>0</v>
      </c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</row>
    <row r="53" spans="2:111" ht="15" customHeight="1" x14ac:dyDescent="0.2">
      <c r="B53" s="136" t="s">
        <v>133</v>
      </c>
      <c r="C53" s="137">
        <v>11</v>
      </c>
      <c r="D53" s="138">
        <f t="shared" si="17"/>
        <v>143.30873240909946</v>
      </c>
      <c r="E53" s="139">
        <f>IF(D10=0,0,E52/D10)</f>
        <v>143.30873240909946</v>
      </c>
      <c r="F53" s="140">
        <f>IF(D10=0,0,F52/D10)</f>
        <v>0</v>
      </c>
      <c r="L53" s="40"/>
      <c r="M53" s="57" t="s">
        <v>128</v>
      </c>
      <c r="N53" s="42">
        <v>1</v>
      </c>
      <c r="O53" s="42">
        <v>8</v>
      </c>
      <c r="P53" s="35">
        <v>0.18</v>
      </c>
      <c r="Q53" s="35"/>
      <c r="R53" s="53">
        <f t="shared" si="34"/>
        <v>1.44</v>
      </c>
      <c r="S53" s="53">
        <f t="shared" si="35"/>
        <v>0</v>
      </c>
      <c r="T53" s="44">
        <f t="shared" si="36"/>
        <v>1.44</v>
      </c>
      <c r="U53" s="5"/>
      <c r="W53" s="56"/>
      <c r="X53" s="57"/>
      <c r="Y53" s="35"/>
      <c r="Z53" s="35"/>
      <c r="AA53" s="35"/>
      <c r="AB53" s="35"/>
      <c r="AC53" s="60">
        <f t="shared" si="26"/>
        <v>0</v>
      </c>
      <c r="AD53" s="60">
        <f t="shared" si="27"/>
        <v>0</v>
      </c>
      <c r="AE53" s="78"/>
      <c r="AF53" s="60">
        <f t="shared" si="28"/>
        <v>0</v>
      </c>
      <c r="AG53" s="60">
        <f t="shared" si="29"/>
        <v>0</v>
      </c>
      <c r="AH53" s="134">
        <f>AF53*AB88/AE88</f>
        <v>0</v>
      </c>
      <c r="AI53" s="61">
        <f>AG53*AB88/AE88</f>
        <v>0</v>
      </c>
      <c r="AJ53" s="5"/>
      <c r="AK53" s="5"/>
      <c r="AL53" s="56"/>
      <c r="AM53" s="57"/>
      <c r="AN53" s="35"/>
      <c r="AO53" s="35"/>
      <c r="AP53" s="35"/>
      <c r="AQ53" s="35"/>
      <c r="AR53" s="60">
        <f t="shared" si="30"/>
        <v>0</v>
      </c>
      <c r="AS53" s="60">
        <f t="shared" si="31"/>
        <v>0</v>
      </c>
      <c r="AT53" s="78"/>
      <c r="AU53" s="60">
        <f t="shared" si="32"/>
        <v>0</v>
      </c>
      <c r="AV53" s="60">
        <f t="shared" si="33"/>
        <v>0</v>
      </c>
      <c r="AW53" s="134">
        <f>AU53*AB88/AE88</f>
        <v>0</v>
      </c>
      <c r="AX53" s="61">
        <f>AV53*AB88/AE88</f>
        <v>0</v>
      </c>
      <c r="AY53" s="5"/>
      <c r="AZ53" s="5"/>
      <c r="BA53" s="40"/>
      <c r="BB53" s="41"/>
      <c r="BC53" s="42"/>
      <c r="BD53" s="35"/>
      <c r="BE53" s="43">
        <f t="shared" si="24"/>
        <v>0</v>
      </c>
      <c r="BF53" s="35"/>
      <c r="BG53" s="44">
        <f t="shared" si="25"/>
        <v>0</v>
      </c>
      <c r="BU53" s="40"/>
      <c r="BV53" s="49"/>
      <c r="BW53" s="42"/>
      <c r="BX53" s="42"/>
      <c r="BY53" s="35"/>
      <c r="BZ53" s="35"/>
      <c r="CA53" s="60">
        <f>BW53*BX53*BY53</f>
        <v>0</v>
      </c>
      <c r="CB53" s="60">
        <f>BW53*BX53*BZ53</f>
        <v>0</v>
      </c>
      <c r="CC53" s="61">
        <f>CA53+CB53</f>
        <v>0</v>
      </c>
      <c r="CD53" s="5"/>
      <c r="CE53" s="5"/>
      <c r="CF53" s="5"/>
      <c r="CG53" s="5"/>
      <c r="CH53" s="5"/>
      <c r="CJ53" s="40"/>
      <c r="CK53" s="49"/>
      <c r="CL53" s="42"/>
      <c r="CM53" s="42"/>
      <c r="CN53" s="35"/>
      <c r="CO53" s="35"/>
      <c r="CP53" s="60">
        <f>CL53*CM53*CN53</f>
        <v>0</v>
      </c>
      <c r="CQ53" s="60">
        <f>CL53*CM53*CO53</f>
        <v>0</v>
      </c>
      <c r="CR53" s="61">
        <f>CP53+CQ53</f>
        <v>0</v>
      </c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</row>
    <row r="54" spans="2:111" ht="15" customHeight="1" x14ac:dyDescent="0.25">
      <c r="B54" s="141" t="s">
        <v>134</v>
      </c>
      <c r="C54" s="142" t="s">
        <v>120</v>
      </c>
      <c r="D54" s="143">
        <v>0.3</v>
      </c>
      <c r="E54" s="144"/>
      <c r="F54" s="145"/>
      <c r="L54" s="40"/>
      <c r="M54" s="49"/>
      <c r="N54" s="42"/>
      <c r="O54" s="42"/>
      <c r="P54" s="35"/>
      <c r="Q54" s="35"/>
      <c r="R54" s="53">
        <f t="shared" si="34"/>
        <v>0</v>
      </c>
      <c r="S54" s="53">
        <f t="shared" si="35"/>
        <v>0</v>
      </c>
      <c r="T54" s="44">
        <f t="shared" si="36"/>
        <v>0</v>
      </c>
      <c r="U54" s="5"/>
      <c r="W54" s="56"/>
      <c r="X54" s="57"/>
      <c r="Y54" s="35"/>
      <c r="Z54" s="35"/>
      <c r="AA54" s="35"/>
      <c r="AB54" s="35"/>
      <c r="AC54" s="60">
        <f t="shared" si="26"/>
        <v>0</v>
      </c>
      <c r="AD54" s="60">
        <f t="shared" si="27"/>
        <v>0</v>
      </c>
      <c r="AE54" s="78"/>
      <c r="AF54" s="60">
        <f t="shared" si="28"/>
        <v>0</v>
      </c>
      <c r="AG54" s="60">
        <f t="shared" si="29"/>
        <v>0</v>
      </c>
      <c r="AH54" s="134">
        <f>AF54*AB88/AE88</f>
        <v>0</v>
      </c>
      <c r="AI54" s="61">
        <f>AG54*AB88/AE88</f>
        <v>0</v>
      </c>
      <c r="AJ54" s="5"/>
      <c r="AK54" s="5"/>
      <c r="AL54" s="56"/>
      <c r="AM54" s="57"/>
      <c r="AN54" s="35"/>
      <c r="AO54" s="35"/>
      <c r="AP54" s="35"/>
      <c r="AQ54" s="35"/>
      <c r="AR54" s="60">
        <f t="shared" si="30"/>
        <v>0</v>
      </c>
      <c r="AS54" s="60">
        <f t="shared" si="31"/>
        <v>0</v>
      </c>
      <c r="AT54" s="78"/>
      <c r="AU54" s="60">
        <f t="shared" si="32"/>
        <v>0</v>
      </c>
      <c r="AV54" s="60">
        <f t="shared" si="33"/>
        <v>0</v>
      </c>
      <c r="AW54" s="134">
        <f>AU54*AB88/AE88</f>
        <v>0</v>
      </c>
      <c r="AX54" s="61">
        <f>AV54*AB88/AE88</f>
        <v>0</v>
      </c>
      <c r="AY54" s="5"/>
      <c r="AZ54" s="5"/>
      <c r="BA54" s="40"/>
      <c r="BB54" s="41"/>
      <c r="BC54" s="42"/>
      <c r="BD54" s="35"/>
      <c r="BE54" s="43">
        <f t="shared" si="24"/>
        <v>0</v>
      </c>
      <c r="BF54" s="35"/>
      <c r="BG54" s="44">
        <f t="shared" si="25"/>
        <v>0</v>
      </c>
      <c r="BU54" s="40"/>
      <c r="BV54" s="49"/>
      <c r="BW54" s="42"/>
      <c r="BX54" s="42"/>
      <c r="BY54" s="35"/>
      <c r="BZ54" s="35"/>
      <c r="CA54" s="60">
        <f>BW54*BX54*BY54</f>
        <v>0</v>
      </c>
      <c r="CB54" s="60">
        <f>BW54*BX54*BZ54</f>
        <v>0</v>
      </c>
      <c r="CC54" s="61">
        <f>CA54+CB54</f>
        <v>0</v>
      </c>
      <c r="CD54" s="5"/>
      <c r="CE54" s="5"/>
      <c r="CF54" s="5"/>
      <c r="CG54" s="5"/>
      <c r="CH54" s="5"/>
      <c r="CJ54" s="40"/>
      <c r="CK54" s="65"/>
      <c r="CL54" s="42"/>
      <c r="CM54" s="42"/>
      <c r="CN54" s="35"/>
      <c r="CO54" s="35"/>
      <c r="CP54" s="60">
        <f>CL54*CM54*CN54</f>
        <v>0</v>
      </c>
      <c r="CQ54" s="60">
        <f>CL54*CM54*CO54</f>
        <v>0</v>
      </c>
      <c r="CR54" s="61">
        <f>CP54+CQ54</f>
        <v>0</v>
      </c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</row>
    <row r="55" spans="2:111" customFormat="1" ht="15.75" x14ac:dyDescent="0.25">
      <c r="B55" s="146" t="s">
        <v>143</v>
      </c>
      <c r="C55" s="147" t="s">
        <v>120</v>
      </c>
      <c r="D55" s="148">
        <v>0.1</v>
      </c>
      <c r="E55" s="149"/>
      <c r="F55" s="150"/>
      <c r="L55" s="40"/>
      <c r="M55" s="49"/>
      <c r="N55" s="42"/>
      <c r="O55" s="42"/>
      <c r="P55" s="35"/>
      <c r="Q55" s="35"/>
      <c r="R55" s="53"/>
      <c r="S55" s="53"/>
      <c r="T55" s="44"/>
      <c r="U55" s="5"/>
      <c r="W55" s="56"/>
      <c r="X55" s="57"/>
      <c r="Y55" s="35"/>
      <c r="Z55" s="35"/>
      <c r="AA55" s="35"/>
      <c r="AB55" s="35"/>
      <c r="AC55" s="60"/>
      <c r="AD55" s="60"/>
      <c r="AE55" s="78"/>
      <c r="AF55" s="60"/>
      <c r="AG55" s="60"/>
      <c r="AH55" s="134"/>
      <c r="AI55" s="61"/>
      <c r="AJ55" s="5"/>
      <c r="AK55" s="5"/>
      <c r="AL55" s="56"/>
      <c r="AM55" s="57"/>
      <c r="AN55" s="35"/>
      <c r="AO55" s="35"/>
      <c r="AP55" s="35"/>
      <c r="AQ55" s="35"/>
      <c r="AR55" s="60"/>
      <c r="AS55" s="60"/>
      <c r="AT55" s="78"/>
      <c r="AU55" s="60"/>
      <c r="AV55" s="60"/>
      <c r="AW55" s="134"/>
      <c r="AX55" s="61"/>
      <c r="AY55" s="5"/>
      <c r="AZ55" s="5"/>
      <c r="BA55" s="40"/>
      <c r="BB55" s="41"/>
      <c r="BC55" s="42"/>
      <c r="BD55" s="35"/>
      <c r="BE55" s="43"/>
      <c r="BF55" s="35"/>
      <c r="BG55" s="44"/>
      <c r="BU55" s="40"/>
      <c r="BV55" s="49"/>
      <c r="BW55" s="42"/>
      <c r="BX55" s="42"/>
      <c r="BY55" s="35"/>
      <c r="BZ55" s="35"/>
      <c r="CA55" s="60"/>
      <c r="CB55" s="60"/>
      <c r="CC55" s="61"/>
      <c r="CD55" s="5"/>
      <c r="CE55" s="5"/>
      <c r="CF55" s="5"/>
      <c r="CG55" s="5"/>
      <c r="CH55" s="5"/>
      <c r="CJ55" s="40"/>
      <c r="CK55" s="65"/>
      <c r="CL55" s="42"/>
      <c r="CM55" s="42"/>
      <c r="CN55" s="35"/>
      <c r="CO55" s="35"/>
      <c r="CP55" s="60"/>
      <c r="CQ55" s="60"/>
      <c r="CR55" s="61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</row>
    <row r="56" spans="2:111" customFormat="1" ht="15.75" x14ac:dyDescent="0.25">
      <c r="B56" s="146" t="s">
        <v>144</v>
      </c>
      <c r="C56" s="147">
        <v>12</v>
      </c>
      <c r="D56" s="151">
        <f>D53*(1+D54)</f>
        <v>186.3013521318293</v>
      </c>
      <c r="E56" s="152">
        <f>IF(E54=0,0,E53+(E53*E54%))</f>
        <v>0</v>
      </c>
      <c r="F56" s="153">
        <f>IF(F54=0,0,F53+(F53*F54%))</f>
        <v>0</v>
      </c>
      <c r="L56" s="40"/>
      <c r="M56" s="49"/>
      <c r="N56" s="42"/>
      <c r="O56" s="42"/>
      <c r="P56" s="35"/>
      <c r="Q56" s="35"/>
      <c r="R56" s="53"/>
      <c r="S56" s="53"/>
      <c r="T56" s="44"/>
      <c r="U56" s="5"/>
      <c r="W56" s="56"/>
      <c r="X56" s="57"/>
      <c r="Y56" s="35"/>
      <c r="Z56" s="35"/>
      <c r="AA56" s="35"/>
      <c r="AB56" s="35"/>
      <c r="AC56" s="60"/>
      <c r="AD56" s="60"/>
      <c r="AE56" s="78"/>
      <c r="AF56" s="60"/>
      <c r="AG56" s="60"/>
      <c r="AH56" s="134"/>
      <c r="AI56" s="61"/>
      <c r="AJ56" s="5"/>
      <c r="AK56" s="5"/>
      <c r="AL56" s="56"/>
      <c r="AM56" s="57"/>
      <c r="AN56" s="35"/>
      <c r="AO56" s="35"/>
      <c r="AP56" s="35"/>
      <c r="AQ56" s="35"/>
      <c r="AR56" s="60"/>
      <c r="AS56" s="60"/>
      <c r="AT56" s="78"/>
      <c r="AU56" s="60"/>
      <c r="AV56" s="60"/>
      <c r="AW56" s="134"/>
      <c r="AX56" s="61"/>
      <c r="AY56" s="5"/>
      <c r="AZ56" s="5"/>
      <c r="BA56" s="40"/>
      <c r="BB56" s="41"/>
      <c r="BC56" s="42"/>
      <c r="BD56" s="35"/>
      <c r="BE56" s="43"/>
      <c r="BF56" s="35"/>
      <c r="BG56" s="44"/>
      <c r="BU56" s="40"/>
      <c r="BV56" s="49"/>
      <c r="BW56" s="42"/>
      <c r="BX56" s="42"/>
      <c r="BY56" s="35"/>
      <c r="BZ56" s="35"/>
      <c r="CA56" s="60"/>
      <c r="CB56" s="60"/>
      <c r="CC56" s="61"/>
      <c r="CD56" s="5"/>
      <c r="CE56" s="5"/>
      <c r="CF56" s="5"/>
      <c r="CG56" s="5"/>
      <c r="CH56" s="5"/>
      <c r="CJ56" s="40"/>
      <c r="CK56" s="65"/>
      <c r="CL56" s="42"/>
      <c r="CM56" s="42"/>
      <c r="CN56" s="35"/>
      <c r="CO56" s="35"/>
      <c r="CP56" s="60"/>
      <c r="CQ56" s="60"/>
      <c r="CR56" s="61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</row>
    <row r="57" spans="2:111" ht="15.75" x14ac:dyDescent="0.25">
      <c r="B57" s="154" t="s">
        <v>135</v>
      </c>
      <c r="C57" s="155">
        <v>13</v>
      </c>
      <c r="D57" s="156">
        <f>D56/(1-D55)</f>
        <v>207.00150236869922</v>
      </c>
      <c r="E57" s="157">
        <f>IF(E54=0,0,E53+(E53*E54%))</f>
        <v>0</v>
      </c>
      <c r="F57" s="157">
        <f>IF(F54=0,0,F53+(F53*F54%))</f>
        <v>0</v>
      </c>
      <c r="L57" s="40"/>
      <c r="M57" s="49"/>
      <c r="N57" s="42"/>
      <c r="O57" s="42"/>
      <c r="P57" s="35"/>
      <c r="Q57" s="35"/>
      <c r="R57" s="53">
        <f t="shared" ref="R57:R76" si="37">N57*O57*P57</f>
        <v>0</v>
      </c>
      <c r="S57" s="53">
        <f t="shared" ref="S57:S76" si="38">N57*O57*Q57</f>
        <v>0</v>
      </c>
      <c r="T57" s="44">
        <f t="shared" ref="T57:T76" si="39">R57+S57</f>
        <v>0</v>
      </c>
      <c r="U57" s="5"/>
      <c r="W57" s="56"/>
      <c r="X57" s="57"/>
      <c r="Y57" s="35"/>
      <c r="Z57" s="35"/>
      <c r="AA57" s="35"/>
      <c r="AB57" s="35"/>
      <c r="AC57" s="60">
        <f t="shared" ref="AC57:AC79" si="40">Y57-AA57</f>
        <v>0</v>
      </c>
      <c r="AD57" s="60">
        <f t="shared" ref="AD57:AD79" si="41">Z57-AB57</f>
        <v>0</v>
      </c>
      <c r="AE57" s="78"/>
      <c r="AF57" s="60">
        <f t="shared" ref="AF57:AF79" si="42">AC57*AE57%</f>
        <v>0</v>
      </c>
      <c r="AG57" s="60">
        <f t="shared" ref="AG57:AG79" si="43">AD57*AE57%</f>
        <v>0</v>
      </c>
      <c r="AH57" s="134">
        <f>AF57*AB88/AE88</f>
        <v>0</v>
      </c>
      <c r="AI57" s="61">
        <f>AG57*AB88/AE88</f>
        <v>0</v>
      </c>
      <c r="AJ57" s="5"/>
      <c r="AK57" s="5"/>
      <c r="AL57" s="56"/>
      <c r="AM57" s="57"/>
      <c r="AN57" s="35"/>
      <c r="AO57" s="35"/>
      <c r="AP57" s="35"/>
      <c r="AQ57" s="35"/>
      <c r="AR57" s="60">
        <f t="shared" ref="AR57:AR79" si="44">AN57-AP57</f>
        <v>0</v>
      </c>
      <c r="AS57" s="60">
        <f t="shared" ref="AS57:AS79" si="45">AO57-AQ57</f>
        <v>0</v>
      </c>
      <c r="AT57" s="78"/>
      <c r="AU57" s="60">
        <f t="shared" ref="AU57:AU79" si="46">AR57*AT57%</f>
        <v>0</v>
      </c>
      <c r="AV57" s="60">
        <f t="shared" ref="AV57:AV79" si="47">AS57*AT57%</f>
        <v>0</v>
      </c>
      <c r="AW57" s="134">
        <f>AU57*AB88/AE88</f>
        <v>0</v>
      </c>
      <c r="AX57" s="61">
        <f>AV57*AB88/AE88</f>
        <v>0</v>
      </c>
      <c r="AY57" s="5"/>
      <c r="AZ57" s="5"/>
      <c r="BA57" s="40"/>
      <c r="BB57" s="41"/>
      <c r="BC57" s="42"/>
      <c r="BD57" s="35"/>
      <c r="BE57" s="43">
        <f t="shared" ref="BE57:BE81" si="48">BD57/190.6</f>
        <v>0</v>
      </c>
      <c r="BF57" s="35"/>
      <c r="BG57" s="44">
        <f t="shared" ref="BG57:BG81" si="49">BE57*BF57*BB57</f>
        <v>0</v>
      </c>
      <c r="BU57" s="40"/>
      <c r="BV57" s="65"/>
      <c r="BW57" s="42"/>
      <c r="BX57" s="42"/>
      <c r="BY57" s="35"/>
      <c r="BZ57" s="35"/>
      <c r="CA57" s="60">
        <f>BW57*BX57*BY57</f>
        <v>0</v>
      </c>
      <c r="CB57" s="60">
        <f>BW57*BX57*BZ57</f>
        <v>0</v>
      </c>
      <c r="CC57" s="61">
        <f>CA57+CB57</f>
        <v>0</v>
      </c>
      <c r="CD57" s="5"/>
      <c r="CE57" s="5"/>
      <c r="CF57" s="5"/>
      <c r="CG57" s="5"/>
      <c r="CH57" s="5"/>
      <c r="CJ57" s="40"/>
      <c r="CK57" s="49"/>
      <c r="CL57" s="42"/>
      <c r="CM57" s="42"/>
      <c r="CN57" s="35"/>
      <c r="CO57" s="35"/>
      <c r="CP57" s="60">
        <f>CL57*CM57*CN57</f>
        <v>0</v>
      </c>
      <c r="CQ57" s="60">
        <f>CL57*CM57*CO57</f>
        <v>0</v>
      </c>
      <c r="CR57" s="61">
        <f>CP57+CQ57</f>
        <v>0</v>
      </c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</row>
    <row r="58" spans="2:111" ht="15" customHeight="1" x14ac:dyDescent="0.2">
      <c r="B58" s="183" t="s">
        <v>136</v>
      </c>
      <c r="C58" s="183"/>
      <c r="D58" s="183"/>
      <c r="E58" s="185" t="s">
        <v>137</v>
      </c>
      <c r="F58" s="187" t="s">
        <v>138</v>
      </c>
      <c r="L58" s="40"/>
      <c r="M58" s="49"/>
      <c r="N58" s="42"/>
      <c r="O58" s="42"/>
      <c r="P58" s="35"/>
      <c r="Q58" s="35"/>
      <c r="R58" s="53">
        <f t="shared" si="37"/>
        <v>0</v>
      </c>
      <c r="S58" s="53">
        <f t="shared" si="38"/>
        <v>0</v>
      </c>
      <c r="T58" s="44">
        <f t="shared" si="39"/>
        <v>0</v>
      </c>
      <c r="U58" s="5"/>
      <c r="W58" s="56"/>
      <c r="X58" s="57"/>
      <c r="Y58" s="35"/>
      <c r="Z58" s="35"/>
      <c r="AA58" s="35"/>
      <c r="AB58" s="35"/>
      <c r="AC58" s="60">
        <f t="shared" si="40"/>
        <v>0</v>
      </c>
      <c r="AD58" s="60">
        <f t="shared" si="41"/>
        <v>0</v>
      </c>
      <c r="AE58" s="78"/>
      <c r="AF58" s="60">
        <f t="shared" si="42"/>
        <v>0</v>
      </c>
      <c r="AG58" s="60">
        <f t="shared" si="43"/>
        <v>0</v>
      </c>
      <c r="AH58" s="134">
        <f>AF58*AB88/AE88</f>
        <v>0</v>
      </c>
      <c r="AI58" s="61">
        <f>AG58*AB88/AE88</f>
        <v>0</v>
      </c>
      <c r="AJ58" s="5"/>
      <c r="AK58" s="5"/>
      <c r="AL58" s="56"/>
      <c r="AM58" s="57"/>
      <c r="AN58" s="35"/>
      <c r="AO58" s="35"/>
      <c r="AP58" s="35"/>
      <c r="AQ58" s="35"/>
      <c r="AR58" s="60">
        <f t="shared" si="44"/>
        <v>0</v>
      </c>
      <c r="AS58" s="60">
        <f t="shared" si="45"/>
        <v>0</v>
      </c>
      <c r="AT58" s="78"/>
      <c r="AU58" s="60">
        <f t="shared" si="46"/>
        <v>0</v>
      </c>
      <c r="AV58" s="60">
        <f t="shared" si="47"/>
        <v>0</v>
      </c>
      <c r="AW58" s="134">
        <f>AU58*AB88/AE88</f>
        <v>0</v>
      </c>
      <c r="AX58" s="61">
        <f>AV58*AB88/AE88</f>
        <v>0</v>
      </c>
      <c r="AY58" s="5"/>
      <c r="AZ58" s="5"/>
      <c r="BA58" s="40"/>
      <c r="BB58" s="41"/>
      <c r="BC58" s="42"/>
      <c r="BD58" s="35"/>
      <c r="BE58" s="43">
        <f t="shared" si="48"/>
        <v>0</v>
      </c>
      <c r="BF58" s="35"/>
      <c r="BG58" s="44">
        <f t="shared" si="49"/>
        <v>0</v>
      </c>
      <c r="BU58" s="40"/>
      <c r="BV58" s="49"/>
      <c r="BW58" s="42"/>
      <c r="BX58" s="42"/>
      <c r="BY58" s="35"/>
      <c r="BZ58" s="35"/>
      <c r="CA58" s="60">
        <f>BW58*BX58*BY58</f>
        <v>0</v>
      </c>
      <c r="CB58" s="60">
        <f>BW58*BX58*BZ58</f>
        <v>0</v>
      </c>
      <c r="CC58" s="61">
        <f>CA58+CB58</f>
        <v>0</v>
      </c>
      <c r="CD58" s="5"/>
      <c r="CE58" s="5"/>
      <c r="CF58" s="5"/>
      <c r="CG58" s="5"/>
      <c r="CH58" s="5"/>
      <c r="CJ58" s="40"/>
      <c r="CK58" s="49"/>
      <c r="CL58" s="42"/>
      <c r="CM58" s="42"/>
      <c r="CN58" s="35"/>
      <c r="CO58" s="35"/>
      <c r="CP58" s="60">
        <f>CL58*CM58*CN58</f>
        <v>0</v>
      </c>
      <c r="CQ58" s="60">
        <f>CL58*CM58*CO58</f>
        <v>0</v>
      </c>
      <c r="CR58" s="61">
        <f>CP58+CQ58</f>
        <v>0</v>
      </c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</row>
    <row r="59" spans="2:111" ht="24" customHeight="1" x14ac:dyDescent="0.2">
      <c r="B59" s="184"/>
      <c r="C59" s="184"/>
      <c r="D59" s="184"/>
      <c r="E59" s="186"/>
      <c r="F59" s="188"/>
      <c r="L59" s="40"/>
      <c r="M59" s="49"/>
      <c r="N59" s="42"/>
      <c r="O59" s="42"/>
      <c r="P59" s="35"/>
      <c r="Q59" s="35"/>
      <c r="R59" s="53">
        <f t="shared" si="37"/>
        <v>0</v>
      </c>
      <c r="S59" s="53">
        <f t="shared" si="38"/>
        <v>0</v>
      </c>
      <c r="T59" s="44">
        <f t="shared" si="39"/>
        <v>0</v>
      </c>
      <c r="U59" s="5"/>
      <c r="W59" s="56"/>
      <c r="X59" s="57"/>
      <c r="Y59" s="35"/>
      <c r="Z59" s="35"/>
      <c r="AA59" s="35"/>
      <c r="AB59" s="35"/>
      <c r="AC59" s="60">
        <f t="shared" si="40"/>
        <v>0</v>
      </c>
      <c r="AD59" s="60">
        <f t="shared" si="41"/>
        <v>0</v>
      </c>
      <c r="AE59" s="78"/>
      <c r="AF59" s="60">
        <f t="shared" si="42"/>
        <v>0</v>
      </c>
      <c r="AG59" s="60">
        <f t="shared" si="43"/>
        <v>0</v>
      </c>
      <c r="AH59" s="134">
        <f>AF59*AB88/AE88</f>
        <v>0</v>
      </c>
      <c r="AI59" s="61">
        <f>AG59*AB88/AE88</f>
        <v>0</v>
      </c>
      <c r="AJ59" s="5"/>
      <c r="AK59" s="5"/>
      <c r="AL59" s="56"/>
      <c r="AM59" s="57"/>
      <c r="AN59" s="35"/>
      <c r="AO59" s="35"/>
      <c r="AP59" s="35"/>
      <c r="AQ59" s="35"/>
      <c r="AR59" s="60">
        <f t="shared" si="44"/>
        <v>0</v>
      </c>
      <c r="AS59" s="60">
        <f t="shared" si="45"/>
        <v>0</v>
      </c>
      <c r="AT59" s="78"/>
      <c r="AU59" s="60">
        <f t="shared" si="46"/>
        <v>0</v>
      </c>
      <c r="AV59" s="60">
        <f t="shared" si="47"/>
        <v>0</v>
      </c>
      <c r="AW59" s="134">
        <f>AU59*AB88/AE88</f>
        <v>0</v>
      </c>
      <c r="AX59" s="61">
        <f>AV59*AB88/AE88</f>
        <v>0</v>
      </c>
      <c r="AY59" s="5"/>
      <c r="AZ59" s="5"/>
      <c r="BA59" s="40"/>
      <c r="BB59" s="41"/>
      <c r="BC59" s="42"/>
      <c r="BD59" s="35"/>
      <c r="BE59" s="43">
        <f t="shared" si="48"/>
        <v>0</v>
      </c>
      <c r="BF59" s="35"/>
      <c r="BG59" s="44">
        <f t="shared" si="49"/>
        <v>0</v>
      </c>
      <c r="BU59" s="40"/>
      <c r="BV59" s="49"/>
      <c r="BW59" s="42"/>
      <c r="BX59" s="42"/>
      <c r="BY59" s="35"/>
      <c r="BZ59" s="35"/>
      <c r="CA59" s="60">
        <f>BW59*BX59*BY59</f>
        <v>0</v>
      </c>
      <c r="CB59" s="60">
        <f>BW59*BX59*BZ59</f>
        <v>0</v>
      </c>
      <c r="CC59" s="61">
        <f>CA59+CB59</f>
        <v>0</v>
      </c>
      <c r="CD59" s="5"/>
      <c r="CE59" s="5"/>
      <c r="CF59" s="5"/>
      <c r="CG59" s="5"/>
      <c r="CH59" s="5"/>
      <c r="CJ59" s="40"/>
      <c r="CK59" s="49"/>
      <c r="CL59" s="42"/>
      <c r="CM59" s="42"/>
      <c r="CN59" s="35"/>
      <c r="CO59" s="35"/>
      <c r="CP59" s="60">
        <f>CL59*CM59*CN59</f>
        <v>0</v>
      </c>
      <c r="CQ59" s="60">
        <f>CL59*CM59*CO59</f>
        <v>0</v>
      </c>
      <c r="CR59" s="61">
        <f>CP59+CQ59</f>
        <v>0</v>
      </c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</row>
    <row r="60" spans="2:111" ht="15" customHeight="1" x14ac:dyDescent="0.2">
      <c r="B60" s="189" t="s">
        <v>139</v>
      </c>
      <c r="C60" s="190"/>
      <c r="D60" s="190"/>
      <c r="E60" s="193" t="s">
        <v>137</v>
      </c>
      <c r="F60" s="195" t="s">
        <v>138</v>
      </c>
      <c r="L60" s="40"/>
      <c r="M60" s="49"/>
      <c r="N60" s="42"/>
      <c r="O60" s="42"/>
      <c r="P60" s="35"/>
      <c r="Q60" s="35"/>
      <c r="R60" s="53">
        <f t="shared" si="37"/>
        <v>0</v>
      </c>
      <c r="S60" s="53">
        <f t="shared" si="38"/>
        <v>0</v>
      </c>
      <c r="T60" s="44">
        <f t="shared" si="39"/>
        <v>0</v>
      </c>
      <c r="U60" s="5"/>
      <c r="W60" s="56"/>
      <c r="X60" s="57"/>
      <c r="Y60" s="35"/>
      <c r="Z60" s="35"/>
      <c r="AA60" s="35"/>
      <c r="AB60" s="35"/>
      <c r="AC60" s="60">
        <f t="shared" si="40"/>
        <v>0</v>
      </c>
      <c r="AD60" s="60">
        <f t="shared" si="41"/>
        <v>0</v>
      </c>
      <c r="AE60" s="78"/>
      <c r="AF60" s="60">
        <f t="shared" si="42"/>
        <v>0</v>
      </c>
      <c r="AG60" s="60">
        <f t="shared" si="43"/>
        <v>0</v>
      </c>
      <c r="AH60" s="134">
        <f>AF60*AB88/AE88</f>
        <v>0</v>
      </c>
      <c r="AI60" s="61">
        <f>AG60*AB88/AE88</f>
        <v>0</v>
      </c>
      <c r="AJ60" s="5"/>
      <c r="AK60" s="5"/>
      <c r="AL60" s="56"/>
      <c r="AM60" s="57"/>
      <c r="AN60" s="35"/>
      <c r="AO60" s="35"/>
      <c r="AP60" s="35"/>
      <c r="AQ60" s="35"/>
      <c r="AR60" s="60">
        <f t="shared" si="44"/>
        <v>0</v>
      </c>
      <c r="AS60" s="60">
        <f t="shared" si="45"/>
        <v>0</v>
      </c>
      <c r="AT60" s="78"/>
      <c r="AU60" s="60">
        <f t="shared" si="46"/>
        <v>0</v>
      </c>
      <c r="AV60" s="60">
        <f t="shared" si="47"/>
        <v>0</v>
      </c>
      <c r="AW60" s="134">
        <f>AU60*AB88/AE88</f>
        <v>0</v>
      </c>
      <c r="AX60" s="61">
        <f>AV60*AB88/AE88</f>
        <v>0</v>
      </c>
      <c r="AY60" s="5"/>
      <c r="AZ60" s="5"/>
      <c r="BA60" s="40"/>
      <c r="BB60" s="41"/>
      <c r="BC60" s="42"/>
      <c r="BD60" s="35"/>
      <c r="BE60" s="43">
        <f t="shared" si="48"/>
        <v>0</v>
      </c>
      <c r="BF60" s="35"/>
      <c r="BG60" s="44">
        <f t="shared" si="49"/>
        <v>0</v>
      </c>
      <c r="BU60" s="40"/>
      <c r="BV60" s="49"/>
      <c r="BW60" s="42"/>
      <c r="BX60" s="42"/>
      <c r="BY60" s="35"/>
      <c r="BZ60" s="35"/>
      <c r="CA60" s="60">
        <f>BW60*BX60*BY60</f>
        <v>0</v>
      </c>
      <c r="CB60" s="60">
        <f>BW60*BX60*BZ60</f>
        <v>0</v>
      </c>
      <c r="CC60" s="61">
        <f>CA60+CB60</f>
        <v>0</v>
      </c>
      <c r="CD60" s="5"/>
      <c r="CE60" s="5"/>
      <c r="CF60" s="5"/>
      <c r="CG60" s="5"/>
      <c r="CH60" s="5"/>
      <c r="CJ60" s="40"/>
      <c r="CK60" s="49"/>
      <c r="CL60" s="42"/>
      <c r="CM60" s="42"/>
      <c r="CN60" s="35"/>
      <c r="CO60" s="35"/>
      <c r="CP60" s="60">
        <f>CL60*CM60*CN60</f>
        <v>0</v>
      </c>
      <c r="CQ60" s="60">
        <f>CL60*CM60*CO60</f>
        <v>0</v>
      </c>
      <c r="CR60" s="61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</row>
    <row r="61" spans="2:111" ht="15" customHeight="1" x14ac:dyDescent="0.25">
      <c r="B61" s="191"/>
      <c r="C61" s="192"/>
      <c r="D61" s="192"/>
      <c r="E61" s="194"/>
      <c r="F61" s="196"/>
      <c r="L61" s="40"/>
      <c r="M61" s="49"/>
      <c r="N61" s="42"/>
      <c r="O61" s="42"/>
      <c r="P61" s="35"/>
      <c r="Q61" s="35"/>
      <c r="R61" s="53">
        <f t="shared" si="37"/>
        <v>0</v>
      </c>
      <c r="S61" s="53">
        <f t="shared" si="38"/>
        <v>0</v>
      </c>
      <c r="T61" s="44">
        <f t="shared" si="39"/>
        <v>0</v>
      </c>
      <c r="U61" s="5"/>
      <c r="W61" s="56"/>
      <c r="X61" s="57"/>
      <c r="Y61" s="35"/>
      <c r="Z61" s="35"/>
      <c r="AA61" s="35"/>
      <c r="AB61" s="35"/>
      <c r="AC61" s="60">
        <f t="shared" si="40"/>
        <v>0</v>
      </c>
      <c r="AD61" s="60">
        <f t="shared" si="41"/>
        <v>0</v>
      </c>
      <c r="AE61" s="78"/>
      <c r="AF61" s="60">
        <f t="shared" si="42"/>
        <v>0</v>
      </c>
      <c r="AG61" s="60">
        <f t="shared" si="43"/>
        <v>0</v>
      </c>
      <c r="AH61" s="134">
        <f>AF61*AB88/AE88</f>
        <v>0</v>
      </c>
      <c r="AI61" s="61">
        <f>AG61*AB88/AE88</f>
        <v>0</v>
      </c>
      <c r="AJ61" s="5"/>
      <c r="AK61" s="5"/>
      <c r="AL61" s="56"/>
      <c r="AM61" s="57"/>
      <c r="AN61" s="35"/>
      <c r="AO61" s="35"/>
      <c r="AP61" s="35"/>
      <c r="AQ61" s="35"/>
      <c r="AR61" s="60">
        <f t="shared" si="44"/>
        <v>0</v>
      </c>
      <c r="AS61" s="60">
        <f t="shared" si="45"/>
        <v>0</v>
      </c>
      <c r="AT61" s="78"/>
      <c r="AU61" s="60">
        <f t="shared" si="46"/>
        <v>0</v>
      </c>
      <c r="AV61" s="60">
        <f t="shared" si="47"/>
        <v>0</v>
      </c>
      <c r="AW61" s="134">
        <f>AU61*AB88/AE88</f>
        <v>0</v>
      </c>
      <c r="AX61" s="61">
        <f>AV61*AB88/AE88</f>
        <v>0</v>
      </c>
      <c r="AY61" s="5"/>
      <c r="AZ61" s="5"/>
      <c r="BA61" s="40"/>
      <c r="BB61" s="41"/>
      <c r="BC61" s="42"/>
      <c r="BD61" s="35"/>
      <c r="BE61" s="43">
        <f t="shared" si="48"/>
        <v>0</v>
      </c>
      <c r="BF61" s="35"/>
      <c r="BG61" s="44">
        <f t="shared" si="49"/>
        <v>0</v>
      </c>
      <c r="BU61" s="40"/>
      <c r="BV61" s="49"/>
      <c r="BW61" s="42"/>
      <c r="BX61" s="42"/>
      <c r="BY61" s="35"/>
      <c r="BZ61" s="35"/>
      <c r="CA61" s="60">
        <f>BW61*BX61*BY61</f>
        <v>0</v>
      </c>
      <c r="CB61" s="60">
        <f>BW61*BX61*BZ61</f>
        <v>0</v>
      </c>
      <c r="CC61" s="61"/>
      <c r="CD61" s="5"/>
      <c r="CE61" s="5"/>
      <c r="CF61" s="5"/>
      <c r="CG61" s="5"/>
      <c r="CH61" s="5"/>
      <c r="CJ61" s="86"/>
      <c r="CK61" s="87" t="s">
        <v>21</v>
      </c>
      <c r="CL61" s="88"/>
      <c r="CM61" s="88"/>
      <c r="CN61" s="89"/>
      <c r="CO61" s="89"/>
      <c r="CP61" s="89">
        <f>SUM(CP51:CP60)</f>
        <v>0</v>
      </c>
      <c r="CQ61" s="89">
        <f>SUM(CQ51:CQ60)</f>
        <v>0</v>
      </c>
      <c r="CR61" s="158">
        <f>SUM(CR51:CR60)</f>
        <v>0</v>
      </c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</row>
    <row r="62" spans="2:111" ht="15" customHeight="1" x14ac:dyDescent="0.25">
      <c r="L62" s="40"/>
      <c r="M62" s="49"/>
      <c r="N62" s="42"/>
      <c r="O62" s="42"/>
      <c r="P62" s="35"/>
      <c r="Q62" s="35"/>
      <c r="R62" s="53">
        <f t="shared" si="37"/>
        <v>0</v>
      </c>
      <c r="S62" s="53">
        <f t="shared" si="38"/>
        <v>0</v>
      </c>
      <c r="T62" s="44">
        <f t="shared" si="39"/>
        <v>0</v>
      </c>
      <c r="U62" s="5"/>
      <c r="W62" s="56"/>
      <c r="X62" s="57"/>
      <c r="Y62" s="35"/>
      <c r="Z62" s="35"/>
      <c r="AA62" s="35"/>
      <c r="AB62" s="35"/>
      <c r="AC62" s="60">
        <f t="shared" si="40"/>
        <v>0</v>
      </c>
      <c r="AD62" s="60">
        <f t="shared" si="41"/>
        <v>0</v>
      </c>
      <c r="AE62" s="78"/>
      <c r="AF62" s="60">
        <f t="shared" si="42"/>
        <v>0</v>
      </c>
      <c r="AG62" s="60">
        <f t="shared" si="43"/>
        <v>0</v>
      </c>
      <c r="AH62" s="134">
        <f>AF62*AB88/AE88</f>
        <v>0</v>
      </c>
      <c r="AI62" s="61">
        <f>AG62*AB88/AE88</f>
        <v>0</v>
      </c>
      <c r="AJ62" s="5"/>
      <c r="AK62" s="5"/>
      <c r="AL62" s="56"/>
      <c r="AM62" s="57"/>
      <c r="AN62" s="35"/>
      <c r="AO62" s="35"/>
      <c r="AP62" s="35"/>
      <c r="AQ62" s="35"/>
      <c r="AR62" s="60">
        <f t="shared" si="44"/>
        <v>0</v>
      </c>
      <c r="AS62" s="60">
        <f t="shared" si="45"/>
        <v>0</v>
      </c>
      <c r="AT62" s="78"/>
      <c r="AU62" s="60">
        <f t="shared" si="46"/>
        <v>0</v>
      </c>
      <c r="AV62" s="60">
        <f t="shared" si="47"/>
        <v>0</v>
      </c>
      <c r="AW62" s="134">
        <f>AU62*AB88/AE88</f>
        <v>0</v>
      </c>
      <c r="AX62" s="61">
        <f>AV62*AB88/AE88</f>
        <v>0</v>
      </c>
      <c r="AY62" s="5"/>
      <c r="AZ62" s="5"/>
      <c r="BA62" s="40"/>
      <c r="BB62" s="41"/>
      <c r="BC62" s="42"/>
      <c r="BD62" s="35"/>
      <c r="BE62" s="43">
        <f t="shared" si="48"/>
        <v>0</v>
      </c>
      <c r="BF62" s="35"/>
      <c r="BG62" s="44">
        <f t="shared" si="49"/>
        <v>0</v>
      </c>
      <c r="BU62" s="86"/>
      <c r="BV62" s="87" t="s">
        <v>21</v>
      </c>
      <c r="BW62" s="88"/>
      <c r="BX62" s="88"/>
      <c r="BY62" s="89"/>
      <c r="BZ62" s="89"/>
      <c r="CA62" s="89">
        <f>SUM(CA52:CA61)</f>
        <v>0</v>
      </c>
      <c r="CB62" s="89">
        <f>SUM(CB52:CB61)</f>
        <v>0</v>
      </c>
      <c r="CC62" s="158">
        <f>SUM(CC52:CC61)</f>
        <v>0</v>
      </c>
      <c r="CD62" s="5"/>
      <c r="CE62" s="5"/>
      <c r="CF62" s="5"/>
      <c r="CG62" s="5"/>
      <c r="CH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</row>
    <row r="63" spans="2:111" ht="15" customHeight="1" x14ac:dyDescent="0.2">
      <c r="L63" s="40"/>
      <c r="M63" s="49"/>
      <c r="N63" s="42"/>
      <c r="O63" s="42"/>
      <c r="P63" s="35"/>
      <c r="Q63" s="35"/>
      <c r="R63" s="53">
        <f t="shared" si="37"/>
        <v>0</v>
      </c>
      <c r="S63" s="53">
        <f t="shared" si="38"/>
        <v>0</v>
      </c>
      <c r="T63" s="44">
        <f t="shared" si="39"/>
        <v>0</v>
      </c>
      <c r="U63" s="5"/>
      <c r="W63" s="56"/>
      <c r="X63" s="57"/>
      <c r="Y63" s="35"/>
      <c r="Z63" s="35"/>
      <c r="AA63" s="35"/>
      <c r="AB63" s="35"/>
      <c r="AC63" s="60">
        <f t="shared" si="40"/>
        <v>0</v>
      </c>
      <c r="AD63" s="60">
        <f t="shared" si="41"/>
        <v>0</v>
      </c>
      <c r="AE63" s="78"/>
      <c r="AF63" s="60">
        <f t="shared" si="42"/>
        <v>0</v>
      </c>
      <c r="AG63" s="60">
        <f t="shared" si="43"/>
        <v>0</v>
      </c>
      <c r="AH63" s="134">
        <f>AF63*AB88/AE88</f>
        <v>0</v>
      </c>
      <c r="AI63" s="61">
        <f>AG63*AB88/AE88</f>
        <v>0</v>
      </c>
      <c r="AJ63" s="5"/>
      <c r="AK63" s="5"/>
      <c r="AL63" s="56"/>
      <c r="AM63" s="57"/>
      <c r="AN63" s="35"/>
      <c r="AO63" s="35"/>
      <c r="AP63" s="35"/>
      <c r="AQ63" s="35"/>
      <c r="AR63" s="60">
        <f t="shared" si="44"/>
        <v>0</v>
      </c>
      <c r="AS63" s="60">
        <f t="shared" si="45"/>
        <v>0</v>
      </c>
      <c r="AT63" s="78"/>
      <c r="AU63" s="60">
        <f t="shared" si="46"/>
        <v>0</v>
      </c>
      <c r="AV63" s="60">
        <f t="shared" si="47"/>
        <v>0</v>
      </c>
      <c r="AW63" s="134">
        <f>AU63*AB88/AE88</f>
        <v>0</v>
      </c>
      <c r="AX63" s="61">
        <f>AV63*AB88/AE88</f>
        <v>0</v>
      </c>
      <c r="AY63" s="5"/>
      <c r="AZ63" s="5"/>
      <c r="BA63" s="40"/>
      <c r="BB63" s="41"/>
      <c r="BC63" s="42"/>
      <c r="BD63" s="35"/>
      <c r="BE63" s="43">
        <f t="shared" si="48"/>
        <v>0</v>
      </c>
      <c r="BF63" s="35"/>
      <c r="BG63" s="44">
        <f t="shared" si="49"/>
        <v>0</v>
      </c>
    </row>
    <row r="64" spans="2:111" ht="15" customHeight="1" x14ac:dyDescent="0.2">
      <c r="L64" s="40"/>
      <c r="M64" s="49"/>
      <c r="N64" s="42"/>
      <c r="O64" s="42"/>
      <c r="P64" s="35"/>
      <c r="Q64" s="35"/>
      <c r="R64" s="53">
        <f t="shared" si="37"/>
        <v>0</v>
      </c>
      <c r="S64" s="53">
        <f t="shared" si="38"/>
        <v>0</v>
      </c>
      <c r="T64" s="44">
        <f t="shared" si="39"/>
        <v>0</v>
      </c>
      <c r="U64" s="5"/>
      <c r="W64" s="56"/>
      <c r="X64" s="57"/>
      <c r="Y64" s="35"/>
      <c r="Z64" s="35"/>
      <c r="AA64" s="35"/>
      <c r="AB64" s="35"/>
      <c r="AC64" s="60">
        <f t="shared" si="40"/>
        <v>0</v>
      </c>
      <c r="AD64" s="60">
        <f t="shared" si="41"/>
        <v>0</v>
      </c>
      <c r="AE64" s="78"/>
      <c r="AF64" s="60">
        <f t="shared" si="42"/>
        <v>0</v>
      </c>
      <c r="AG64" s="60">
        <f t="shared" si="43"/>
        <v>0</v>
      </c>
      <c r="AH64" s="134">
        <f>AF64*AB88/AE88</f>
        <v>0</v>
      </c>
      <c r="AI64" s="61">
        <f>AG64*AB88/AE88</f>
        <v>0</v>
      </c>
      <c r="AJ64" s="5"/>
      <c r="AK64" s="5"/>
      <c r="AL64" s="56"/>
      <c r="AM64" s="57"/>
      <c r="AN64" s="35"/>
      <c r="AO64" s="35"/>
      <c r="AP64" s="35"/>
      <c r="AQ64" s="35"/>
      <c r="AR64" s="60">
        <f t="shared" si="44"/>
        <v>0</v>
      </c>
      <c r="AS64" s="60">
        <f t="shared" si="45"/>
        <v>0</v>
      </c>
      <c r="AT64" s="78"/>
      <c r="AU64" s="60">
        <f t="shared" si="46"/>
        <v>0</v>
      </c>
      <c r="AV64" s="60">
        <f t="shared" si="47"/>
        <v>0</v>
      </c>
      <c r="AW64" s="134">
        <f>AU64*AB88/AE88</f>
        <v>0</v>
      </c>
      <c r="AX64" s="61">
        <f>AV64*AB88/AE88</f>
        <v>0</v>
      </c>
      <c r="AY64" s="5"/>
      <c r="AZ64" s="5"/>
      <c r="BA64" s="40"/>
      <c r="BB64" s="41"/>
      <c r="BC64" s="42"/>
      <c r="BD64" s="35"/>
      <c r="BE64" s="43">
        <f t="shared" si="48"/>
        <v>0</v>
      </c>
      <c r="BF64" s="35"/>
      <c r="BG64" s="44">
        <f t="shared" si="49"/>
        <v>0</v>
      </c>
    </row>
    <row r="65" spans="12:100" ht="15" customHeight="1" x14ac:dyDescent="0.2">
      <c r="L65" s="40"/>
      <c r="M65" s="49"/>
      <c r="N65" s="42"/>
      <c r="O65" s="42"/>
      <c r="P65" s="35"/>
      <c r="Q65" s="35"/>
      <c r="R65" s="53">
        <f t="shared" si="37"/>
        <v>0</v>
      </c>
      <c r="S65" s="53">
        <f t="shared" si="38"/>
        <v>0</v>
      </c>
      <c r="T65" s="44">
        <f t="shared" si="39"/>
        <v>0</v>
      </c>
      <c r="U65" s="5"/>
      <c r="W65" s="56"/>
      <c r="X65" s="57"/>
      <c r="Y65" s="35"/>
      <c r="Z65" s="35"/>
      <c r="AA65" s="35"/>
      <c r="AB65" s="35"/>
      <c r="AC65" s="60">
        <f t="shared" si="40"/>
        <v>0</v>
      </c>
      <c r="AD65" s="60">
        <f t="shared" si="41"/>
        <v>0</v>
      </c>
      <c r="AE65" s="78"/>
      <c r="AF65" s="60">
        <f t="shared" si="42"/>
        <v>0</v>
      </c>
      <c r="AG65" s="60">
        <f t="shared" si="43"/>
        <v>0</v>
      </c>
      <c r="AH65" s="134">
        <f>AF65*AB88/AE88</f>
        <v>0</v>
      </c>
      <c r="AI65" s="61">
        <f>AG65*AB88/AE88</f>
        <v>0</v>
      </c>
      <c r="AJ65" s="5"/>
      <c r="AK65" s="5"/>
      <c r="AL65" s="56"/>
      <c r="AM65" s="57"/>
      <c r="AN65" s="35"/>
      <c r="AO65" s="35"/>
      <c r="AP65" s="35"/>
      <c r="AQ65" s="35"/>
      <c r="AR65" s="60">
        <f t="shared" si="44"/>
        <v>0</v>
      </c>
      <c r="AS65" s="60">
        <f t="shared" si="45"/>
        <v>0</v>
      </c>
      <c r="AT65" s="78"/>
      <c r="AU65" s="60">
        <f t="shared" si="46"/>
        <v>0</v>
      </c>
      <c r="AV65" s="60">
        <f t="shared" si="47"/>
        <v>0</v>
      </c>
      <c r="AW65" s="134">
        <f>AU65*AB88/AE88</f>
        <v>0</v>
      </c>
      <c r="AX65" s="61">
        <f>AV65*AB88/AE88</f>
        <v>0</v>
      </c>
      <c r="AY65" s="5"/>
      <c r="AZ65" s="5"/>
      <c r="BA65" s="40"/>
      <c r="BB65" s="41"/>
      <c r="BC65" s="42"/>
      <c r="BD65" s="35"/>
      <c r="BE65" s="43">
        <f t="shared" si="48"/>
        <v>0</v>
      </c>
      <c r="BF65" s="35"/>
      <c r="BG65" s="44">
        <f t="shared" si="49"/>
        <v>0</v>
      </c>
    </row>
    <row r="66" spans="12:100" ht="15" customHeight="1" x14ac:dyDescent="0.2">
      <c r="L66" s="40"/>
      <c r="M66" s="49"/>
      <c r="N66" s="42"/>
      <c r="O66" s="42"/>
      <c r="P66" s="35"/>
      <c r="Q66" s="35"/>
      <c r="R66" s="53">
        <f t="shared" si="37"/>
        <v>0</v>
      </c>
      <c r="S66" s="53">
        <f t="shared" si="38"/>
        <v>0</v>
      </c>
      <c r="T66" s="44">
        <f t="shared" si="39"/>
        <v>0</v>
      </c>
      <c r="U66" s="5"/>
      <c r="W66" s="56"/>
      <c r="X66" s="57"/>
      <c r="Y66" s="35"/>
      <c r="Z66" s="35"/>
      <c r="AA66" s="35"/>
      <c r="AB66" s="35"/>
      <c r="AC66" s="60">
        <f t="shared" si="40"/>
        <v>0</v>
      </c>
      <c r="AD66" s="60">
        <f t="shared" si="41"/>
        <v>0</v>
      </c>
      <c r="AE66" s="78"/>
      <c r="AF66" s="60">
        <f t="shared" si="42"/>
        <v>0</v>
      </c>
      <c r="AG66" s="60">
        <f t="shared" si="43"/>
        <v>0</v>
      </c>
      <c r="AH66" s="134">
        <f>AF66*AB88/AE88</f>
        <v>0</v>
      </c>
      <c r="AI66" s="61">
        <f>AG66*AB88/AE88</f>
        <v>0</v>
      </c>
      <c r="AJ66" s="5"/>
      <c r="AK66" s="5"/>
      <c r="AL66" s="56"/>
      <c r="AM66" s="57"/>
      <c r="AN66" s="35"/>
      <c r="AO66" s="35"/>
      <c r="AP66" s="35"/>
      <c r="AQ66" s="35"/>
      <c r="AR66" s="60">
        <f t="shared" si="44"/>
        <v>0</v>
      </c>
      <c r="AS66" s="60">
        <f t="shared" si="45"/>
        <v>0</v>
      </c>
      <c r="AT66" s="78"/>
      <c r="AU66" s="60">
        <f t="shared" si="46"/>
        <v>0</v>
      </c>
      <c r="AV66" s="60">
        <f t="shared" si="47"/>
        <v>0</v>
      </c>
      <c r="AW66" s="134">
        <f>AU66*AB88/AE88</f>
        <v>0</v>
      </c>
      <c r="AX66" s="61">
        <f>AV66*AB88/AE88</f>
        <v>0</v>
      </c>
      <c r="AY66" s="5"/>
      <c r="AZ66" s="5"/>
      <c r="BA66" s="40"/>
      <c r="BB66" s="41"/>
      <c r="BC66" s="42"/>
      <c r="BD66" s="35"/>
      <c r="BE66" s="43">
        <f t="shared" si="48"/>
        <v>0</v>
      </c>
      <c r="BF66" s="35"/>
      <c r="BG66" s="44">
        <f t="shared" si="49"/>
        <v>0</v>
      </c>
    </row>
    <row r="67" spans="12:100" ht="15" customHeight="1" x14ac:dyDescent="0.25">
      <c r="L67" s="40"/>
      <c r="M67" s="49"/>
      <c r="N67" s="42"/>
      <c r="O67" s="42"/>
      <c r="P67" s="35"/>
      <c r="Q67" s="35"/>
      <c r="R67" s="53">
        <f t="shared" si="37"/>
        <v>0</v>
      </c>
      <c r="S67" s="53">
        <f t="shared" si="38"/>
        <v>0</v>
      </c>
      <c r="T67" s="44">
        <f t="shared" si="39"/>
        <v>0</v>
      </c>
      <c r="U67" s="5"/>
      <c r="W67" s="56"/>
      <c r="X67" s="57"/>
      <c r="Y67" s="35"/>
      <c r="Z67" s="35"/>
      <c r="AA67" s="35"/>
      <c r="AB67" s="35"/>
      <c r="AC67" s="60">
        <f t="shared" si="40"/>
        <v>0</v>
      </c>
      <c r="AD67" s="60">
        <f t="shared" si="41"/>
        <v>0</v>
      </c>
      <c r="AE67" s="78"/>
      <c r="AF67" s="60">
        <f t="shared" si="42"/>
        <v>0</v>
      </c>
      <c r="AG67" s="60">
        <f t="shared" si="43"/>
        <v>0</v>
      </c>
      <c r="AH67" s="134">
        <f>AF67*AB88/AE88</f>
        <v>0</v>
      </c>
      <c r="AI67" s="61">
        <f>AG67*AB88/AE88</f>
        <v>0</v>
      </c>
      <c r="AJ67" s="5"/>
      <c r="AK67" s="5"/>
      <c r="AL67" s="56"/>
      <c r="AM67" s="57"/>
      <c r="AN67" s="35"/>
      <c r="AO67" s="35"/>
      <c r="AP67" s="35"/>
      <c r="AQ67" s="35"/>
      <c r="AR67" s="60">
        <f t="shared" si="44"/>
        <v>0</v>
      </c>
      <c r="AS67" s="60">
        <f t="shared" si="45"/>
        <v>0</v>
      </c>
      <c r="AT67" s="78"/>
      <c r="AU67" s="60">
        <f t="shared" si="46"/>
        <v>0</v>
      </c>
      <c r="AV67" s="60">
        <f t="shared" si="47"/>
        <v>0</v>
      </c>
      <c r="AW67" s="134">
        <f>AU67*AB88/AE88</f>
        <v>0</v>
      </c>
      <c r="AX67" s="61">
        <f>AV67*AB88/AE88</f>
        <v>0</v>
      </c>
      <c r="AY67" s="5"/>
      <c r="AZ67" s="5"/>
      <c r="BA67" s="40"/>
      <c r="BB67" s="41"/>
      <c r="BC67" s="42"/>
      <c r="BD67" s="35"/>
      <c r="BE67" s="43">
        <f t="shared" si="48"/>
        <v>0</v>
      </c>
      <c r="BF67" s="35"/>
      <c r="BG67" s="44">
        <f t="shared" si="49"/>
        <v>0</v>
      </c>
      <c r="BU67" s="182" t="s">
        <v>110</v>
      </c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</row>
    <row r="68" spans="12:100" ht="15" customHeight="1" x14ac:dyDescent="0.25">
      <c r="L68" s="40"/>
      <c r="M68" s="49"/>
      <c r="N68" s="42"/>
      <c r="O68" s="42"/>
      <c r="P68" s="35"/>
      <c r="Q68" s="35"/>
      <c r="R68" s="53">
        <f t="shared" si="37"/>
        <v>0</v>
      </c>
      <c r="S68" s="53">
        <f t="shared" si="38"/>
        <v>0</v>
      </c>
      <c r="T68" s="44">
        <f t="shared" si="39"/>
        <v>0</v>
      </c>
      <c r="U68" s="5"/>
      <c r="W68" s="56"/>
      <c r="X68" s="57"/>
      <c r="Y68" s="35"/>
      <c r="Z68" s="35"/>
      <c r="AA68" s="35"/>
      <c r="AB68" s="35"/>
      <c r="AC68" s="60">
        <f t="shared" si="40"/>
        <v>0</v>
      </c>
      <c r="AD68" s="60">
        <f t="shared" si="41"/>
        <v>0</v>
      </c>
      <c r="AE68" s="78"/>
      <c r="AF68" s="60">
        <f t="shared" si="42"/>
        <v>0</v>
      </c>
      <c r="AG68" s="60">
        <f t="shared" si="43"/>
        <v>0</v>
      </c>
      <c r="AH68" s="134">
        <f>AF68*AB88/AE88</f>
        <v>0</v>
      </c>
      <c r="AI68" s="61">
        <f>AG68*AB88/AE88</f>
        <v>0</v>
      </c>
      <c r="AJ68" s="5"/>
      <c r="AK68" s="5"/>
      <c r="AL68" s="56"/>
      <c r="AM68" s="57"/>
      <c r="AN68" s="35"/>
      <c r="AO68" s="35"/>
      <c r="AP68" s="35"/>
      <c r="AQ68" s="35"/>
      <c r="AR68" s="60">
        <f t="shared" si="44"/>
        <v>0</v>
      </c>
      <c r="AS68" s="60">
        <f t="shared" si="45"/>
        <v>0</v>
      </c>
      <c r="AT68" s="78"/>
      <c r="AU68" s="60">
        <f t="shared" si="46"/>
        <v>0</v>
      </c>
      <c r="AV68" s="60">
        <f t="shared" si="47"/>
        <v>0</v>
      </c>
      <c r="AW68" s="134">
        <f>AU68*AB88/AE88</f>
        <v>0</v>
      </c>
      <c r="AX68" s="61">
        <f>AV68*AB88/AE88</f>
        <v>0</v>
      </c>
      <c r="AY68" s="5"/>
      <c r="AZ68" s="5"/>
      <c r="BA68" s="40"/>
      <c r="BB68" s="41"/>
      <c r="BC68" s="42"/>
      <c r="BD68" s="35"/>
      <c r="BE68" s="43">
        <f t="shared" si="48"/>
        <v>0</v>
      </c>
      <c r="BF68" s="35"/>
      <c r="BG68" s="44">
        <f t="shared" si="49"/>
        <v>0</v>
      </c>
      <c r="BU68" s="8"/>
      <c r="BV68" s="5"/>
      <c r="BW68" s="5"/>
      <c r="BX68" s="9"/>
      <c r="BY68" s="9"/>
      <c r="BZ68" s="5"/>
      <c r="CA68" s="5"/>
      <c r="CB68" s="5"/>
      <c r="CC68" s="5"/>
      <c r="CD68" s="5"/>
      <c r="CE68" s="5"/>
      <c r="CF68" s="5"/>
      <c r="CG68" s="5"/>
      <c r="CJ68" s="182" t="s">
        <v>111</v>
      </c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</row>
    <row r="69" spans="12:100" ht="15" customHeight="1" x14ac:dyDescent="0.2">
      <c r="L69" s="40"/>
      <c r="M69" s="49"/>
      <c r="N69" s="42"/>
      <c r="O69" s="42"/>
      <c r="P69" s="35"/>
      <c r="Q69" s="35"/>
      <c r="R69" s="53">
        <f t="shared" si="37"/>
        <v>0</v>
      </c>
      <c r="S69" s="53">
        <f t="shared" si="38"/>
        <v>0</v>
      </c>
      <c r="T69" s="44">
        <f t="shared" si="39"/>
        <v>0</v>
      </c>
      <c r="U69" s="5"/>
      <c r="W69" s="56"/>
      <c r="X69" s="57"/>
      <c r="Y69" s="35"/>
      <c r="Z69" s="35"/>
      <c r="AA69" s="35"/>
      <c r="AB69" s="35"/>
      <c r="AC69" s="60">
        <f t="shared" si="40"/>
        <v>0</v>
      </c>
      <c r="AD69" s="60">
        <f t="shared" si="41"/>
        <v>0</v>
      </c>
      <c r="AE69" s="78"/>
      <c r="AF69" s="60">
        <f t="shared" si="42"/>
        <v>0</v>
      </c>
      <c r="AG69" s="60">
        <f t="shared" si="43"/>
        <v>0</v>
      </c>
      <c r="AH69" s="134">
        <f>AF69*AB88/AE88</f>
        <v>0</v>
      </c>
      <c r="AI69" s="61">
        <f>AG69*AB88/AE88</f>
        <v>0</v>
      </c>
      <c r="AJ69" s="5"/>
      <c r="AK69" s="5"/>
      <c r="AL69" s="56"/>
      <c r="AM69" s="57"/>
      <c r="AN69" s="35"/>
      <c r="AO69" s="35"/>
      <c r="AP69" s="35"/>
      <c r="AQ69" s="35"/>
      <c r="AR69" s="60">
        <f t="shared" si="44"/>
        <v>0</v>
      </c>
      <c r="AS69" s="60">
        <f t="shared" si="45"/>
        <v>0</v>
      </c>
      <c r="AT69" s="78"/>
      <c r="AU69" s="60">
        <f t="shared" si="46"/>
        <v>0</v>
      </c>
      <c r="AV69" s="60">
        <f t="shared" si="47"/>
        <v>0</v>
      </c>
      <c r="AW69" s="134">
        <f>AU69*AB88/AE88</f>
        <v>0</v>
      </c>
      <c r="AX69" s="61">
        <f>AV69*AB88/AE88</f>
        <v>0</v>
      </c>
      <c r="AY69" s="5"/>
      <c r="AZ69" s="5"/>
      <c r="BA69" s="40"/>
      <c r="BB69" s="41"/>
      <c r="BC69" s="42"/>
      <c r="BD69" s="35"/>
      <c r="BE69" s="43">
        <f t="shared" si="48"/>
        <v>0</v>
      </c>
      <c r="BF69" s="35"/>
      <c r="BG69" s="44">
        <f t="shared" si="49"/>
        <v>0</v>
      </c>
      <c r="BU69" s="15" t="s">
        <v>22</v>
      </c>
      <c r="BV69" s="16" t="s">
        <v>23</v>
      </c>
      <c r="BW69" s="179" t="s">
        <v>24</v>
      </c>
      <c r="BX69" s="179"/>
      <c r="BY69" s="180" t="s">
        <v>88</v>
      </c>
      <c r="BZ69" s="180"/>
      <c r="CA69" s="180" t="s">
        <v>26</v>
      </c>
      <c r="CB69" s="180"/>
      <c r="CC69" s="16" t="s">
        <v>116</v>
      </c>
      <c r="CD69" s="180" t="s">
        <v>28</v>
      </c>
      <c r="CE69" s="180"/>
      <c r="CF69" s="181" t="s">
        <v>117</v>
      </c>
      <c r="CG69" s="181"/>
      <c r="CJ69" s="8"/>
      <c r="CK69" s="5"/>
      <c r="CL69" s="5"/>
      <c r="CM69" s="9"/>
      <c r="CN69" s="9"/>
      <c r="CO69" s="5"/>
      <c r="CP69" s="5"/>
      <c r="CQ69" s="5"/>
      <c r="CR69" s="5"/>
      <c r="CS69" s="5"/>
      <c r="CT69" s="5"/>
      <c r="CU69" s="5"/>
      <c r="CV69" s="5"/>
    </row>
    <row r="70" spans="12:100" ht="15" customHeight="1" x14ac:dyDescent="0.25">
      <c r="L70" s="40"/>
      <c r="M70" s="49"/>
      <c r="N70" s="42"/>
      <c r="O70" s="42"/>
      <c r="P70" s="35"/>
      <c r="Q70" s="35"/>
      <c r="R70" s="53">
        <f t="shared" si="37"/>
        <v>0</v>
      </c>
      <c r="S70" s="53">
        <f t="shared" si="38"/>
        <v>0</v>
      </c>
      <c r="T70" s="44">
        <f t="shared" si="39"/>
        <v>0</v>
      </c>
      <c r="U70" s="5"/>
      <c r="W70" s="56"/>
      <c r="X70" s="57"/>
      <c r="Y70" s="35"/>
      <c r="Z70" s="35"/>
      <c r="AA70" s="35"/>
      <c r="AB70" s="35"/>
      <c r="AC70" s="60">
        <f t="shared" si="40"/>
        <v>0</v>
      </c>
      <c r="AD70" s="60">
        <f t="shared" si="41"/>
        <v>0</v>
      </c>
      <c r="AE70" s="78"/>
      <c r="AF70" s="60">
        <f t="shared" si="42"/>
        <v>0</v>
      </c>
      <c r="AG70" s="60">
        <f t="shared" si="43"/>
        <v>0</v>
      </c>
      <c r="AH70" s="134">
        <f>AF70*AB88/AE88</f>
        <v>0</v>
      </c>
      <c r="AI70" s="61">
        <f>AG70*AB88/AE88</f>
        <v>0</v>
      </c>
      <c r="AJ70" s="5"/>
      <c r="AK70" s="5"/>
      <c r="AL70" s="56"/>
      <c r="AM70" s="57"/>
      <c r="AN70" s="35"/>
      <c r="AO70" s="35"/>
      <c r="AP70" s="35"/>
      <c r="AQ70" s="35"/>
      <c r="AR70" s="60">
        <f t="shared" si="44"/>
        <v>0</v>
      </c>
      <c r="AS70" s="60">
        <f t="shared" si="45"/>
        <v>0</v>
      </c>
      <c r="AT70" s="78"/>
      <c r="AU70" s="60">
        <f t="shared" si="46"/>
        <v>0</v>
      </c>
      <c r="AV70" s="60">
        <f t="shared" si="47"/>
        <v>0</v>
      </c>
      <c r="AW70" s="134">
        <f>AU70*AB88/AE88</f>
        <v>0</v>
      </c>
      <c r="AX70" s="61">
        <f>AV70*AB88/AE88</f>
        <v>0</v>
      </c>
      <c r="AY70" s="5"/>
      <c r="AZ70" s="5"/>
      <c r="BA70" s="40"/>
      <c r="BB70" s="41"/>
      <c r="BC70" s="42"/>
      <c r="BD70" s="35"/>
      <c r="BE70" s="43">
        <f t="shared" si="48"/>
        <v>0</v>
      </c>
      <c r="BF70" s="35"/>
      <c r="BG70" s="44">
        <f t="shared" si="49"/>
        <v>0</v>
      </c>
      <c r="BU70" s="128"/>
      <c r="BV70" s="129"/>
      <c r="BW70" s="130" t="s">
        <v>119</v>
      </c>
      <c r="BX70" s="131" t="s">
        <v>130</v>
      </c>
      <c r="BY70" s="130" t="s">
        <v>119</v>
      </c>
      <c r="BZ70" s="131" t="s">
        <v>130</v>
      </c>
      <c r="CA70" s="130" t="s">
        <v>119</v>
      </c>
      <c r="CB70" s="131" t="s">
        <v>130</v>
      </c>
      <c r="CC70" s="131" t="s">
        <v>120</v>
      </c>
      <c r="CD70" s="130" t="s">
        <v>119</v>
      </c>
      <c r="CE70" s="131" t="s">
        <v>130</v>
      </c>
      <c r="CF70" s="130" t="s">
        <v>119</v>
      </c>
      <c r="CG70" s="132" t="s">
        <v>130</v>
      </c>
      <c r="CJ70" s="15" t="s">
        <v>22</v>
      </c>
      <c r="CK70" s="16" t="s">
        <v>23</v>
      </c>
      <c r="CL70" s="179" t="s">
        <v>24</v>
      </c>
      <c r="CM70" s="179"/>
      <c r="CN70" s="180" t="s">
        <v>88</v>
      </c>
      <c r="CO70" s="180"/>
      <c r="CP70" s="180" t="s">
        <v>26</v>
      </c>
      <c r="CQ70" s="180"/>
      <c r="CR70" s="16" t="s">
        <v>116</v>
      </c>
      <c r="CS70" s="180" t="s">
        <v>28</v>
      </c>
      <c r="CT70" s="180"/>
      <c r="CU70" s="181" t="s">
        <v>117</v>
      </c>
      <c r="CV70" s="181"/>
    </row>
    <row r="71" spans="12:100" ht="15" customHeight="1" x14ac:dyDescent="0.25">
      <c r="L71" s="40"/>
      <c r="M71" s="49"/>
      <c r="N71" s="42"/>
      <c r="O71" s="42"/>
      <c r="P71" s="35"/>
      <c r="Q71" s="35"/>
      <c r="R71" s="53">
        <f t="shared" si="37"/>
        <v>0</v>
      </c>
      <c r="S71" s="53">
        <f t="shared" si="38"/>
        <v>0</v>
      </c>
      <c r="T71" s="44">
        <f t="shared" si="39"/>
        <v>0</v>
      </c>
      <c r="U71" s="5"/>
      <c r="W71" s="56"/>
      <c r="X71" s="57"/>
      <c r="Y71" s="35"/>
      <c r="Z71" s="35"/>
      <c r="AA71" s="35"/>
      <c r="AB71" s="35"/>
      <c r="AC71" s="60">
        <f t="shared" si="40"/>
        <v>0</v>
      </c>
      <c r="AD71" s="60">
        <f t="shared" si="41"/>
        <v>0</v>
      </c>
      <c r="AE71" s="78"/>
      <c r="AF71" s="60">
        <f t="shared" si="42"/>
        <v>0</v>
      </c>
      <c r="AG71" s="60">
        <f t="shared" si="43"/>
        <v>0</v>
      </c>
      <c r="AH71" s="134">
        <f>AF71*AB88/AE88</f>
        <v>0</v>
      </c>
      <c r="AI71" s="61">
        <f>AG71*AB88/AE88</f>
        <v>0</v>
      </c>
      <c r="AJ71" s="5"/>
      <c r="AK71" s="5"/>
      <c r="AL71" s="56"/>
      <c r="AM71" s="57"/>
      <c r="AN71" s="35"/>
      <c r="AO71" s="35"/>
      <c r="AP71" s="35"/>
      <c r="AQ71" s="35"/>
      <c r="AR71" s="60">
        <f t="shared" si="44"/>
        <v>0</v>
      </c>
      <c r="AS71" s="60">
        <f t="shared" si="45"/>
        <v>0</v>
      </c>
      <c r="AT71" s="78"/>
      <c r="AU71" s="60">
        <f t="shared" si="46"/>
        <v>0</v>
      </c>
      <c r="AV71" s="60">
        <f t="shared" si="47"/>
        <v>0</v>
      </c>
      <c r="AW71" s="134">
        <f>AU71*AB88/AE88</f>
        <v>0</v>
      </c>
      <c r="AX71" s="61">
        <f>AV71*AB88/AE88</f>
        <v>0</v>
      </c>
      <c r="AY71" s="5"/>
      <c r="AZ71" s="5"/>
      <c r="BA71" s="40"/>
      <c r="BB71" s="41"/>
      <c r="BC71" s="42"/>
      <c r="BD71" s="35"/>
      <c r="BE71" s="43">
        <f t="shared" si="48"/>
        <v>0</v>
      </c>
      <c r="BF71" s="35"/>
      <c r="BG71" s="44">
        <f t="shared" si="49"/>
        <v>0</v>
      </c>
      <c r="BU71" s="56"/>
      <c r="BV71" s="57"/>
      <c r="BW71" s="35"/>
      <c r="BX71" s="35"/>
      <c r="BY71" s="35"/>
      <c r="BZ71" s="35"/>
      <c r="CA71" s="60">
        <f t="shared" ref="CA71:CA91" si="50">BW71-BY71</f>
        <v>0</v>
      </c>
      <c r="CB71" s="60">
        <f t="shared" ref="CB71:CB91" si="51">BX71-BZ71</f>
        <v>0</v>
      </c>
      <c r="CC71" s="78"/>
      <c r="CD71" s="60">
        <f t="shared" ref="CD71:CD91" si="52">CA71*CC71%</f>
        <v>0</v>
      </c>
      <c r="CE71" s="60">
        <f t="shared" ref="CE71:CE91" si="53">CB71*CC71%</f>
        <v>0</v>
      </c>
      <c r="CF71" s="134">
        <f>CD71*AB88/AE88</f>
        <v>0</v>
      </c>
      <c r="CG71" s="134">
        <f>CE71*AB88/AE88</f>
        <v>0</v>
      </c>
      <c r="CJ71" s="128"/>
      <c r="CK71" s="129"/>
      <c r="CL71" s="130" t="s">
        <v>119</v>
      </c>
      <c r="CM71" s="131" t="s">
        <v>130</v>
      </c>
      <c r="CN71" s="130" t="s">
        <v>119</v>
      </c>
      <c r="CO71" s="131" t="s">
        <v>130</v>
      </c>
      <c r="CP71" s="130" t="s">
        <v>119</v>
      </c>
      <c r="CQ71" s="131" t="s">
        <v>130</v>
      </c>
      <c r="CR71" s="131" t="s">
        <v>120</v>
      </c>
      <c r="CS71" s="130" t="s">
        <v>119</v>
      </c>
      <c r="CT71" s="131" t="s">
        <v>130</v>
      </c>
      <c r="CU71" s="130" t="s">
        <v>119</v>
      </c>
      <c r="CV71" s="132" t="s">
        <v>130</v>
      </c>
    </row>
    <row r="72" spans="12:100" ht="15" customHeight="1" x14ac:dyDescent="0.2">
      <c r="L72" s="40"/>
      <c r="M72" s="49"/>
      <c r="N72" s="42"/>
      <c r="O72" s="42"/>
      <c r="P72" s="35"/>
      <c r="Q72" s="35"/>
      <c r="R72" s="53">
        <f t="shared" si="37"/>
        <v>0</v>
      </c>
      <c r="S72" s="53">
        <f t="shared" si="38"/>
        <v>0</v>
      </c>
      <c r="T72" s="44">
        <f t="shared" si="39"/>
        <v>0</v>
      </c>
      <c r="U72" s="5"/>
      <c r="W72" s="56"/>
      <c r="X72" s="57"/>
      <c r="Y72" s="35"/>
      <c r="Z72" s="35"/>
      <c r="AA72" s="35"/>
      <c r="AB72" s="35"/>
      <c r="AC72" s="60">
        <f t="shared" si="40"/>
        <v>0</v>
      </c>
      <c r="AD72" s="60">
        <f t="shared" si="41"/>
        <v>0</v>
      </c>
      <c r="AE72" s="78"/>
      <c r="AF72" s="60">
        <f t="shared" si="42"/>
        <v>0</v>
      </c>
      <c r="AG72" s="60">
        <f t="shared" si="43"/>
        <v>0</v>
      </c>
      <c r="AH72" s="134">
        <f>AF72*AB88/AE88</f>
        <v>0</v>
      </c>
      <c r="AI72" s="61">
        <f>AG72*AB88/AE88</f>
        <v>0</v>
      </c>
      <c r="AJ72" s="5"/>
      <c r="AK72" s="5"/>
      <c r="AL72" s="56"/>
      <c r="AM72" s="57"/>
      <c r="AN72" s="35"/>
      <c r="AO72" s="35"/>
      <c r="AP72" s="35"/>
      <c r="AQ72" s="35"/>
      <c r="AR72" s="60">
        <f t="shared" si="44"/>
        <v>0</v>
      </c>
      <c r="AS72" s="60">
        <f t="shared" si="45"/>
        <v>0</v>
      </c>
      <c r="AT72" s="78"/>
      <c r="AU72" s="60">
        <f t="shared" si="46"/>
        <v>0</v>
      </c>
      <c r="AV72" s="60">
        <f t="shared" si="47"/>
        <v>0</v>
      </c>
      <c r="AW72" s="134">
        <f>AU72*AB88/AE88</f>
        <v>0</v>
      </c>
      <c r="AX72" s="61">
        <f>AV72*AB88/AE88</f>
        <v>0</v>
      </c>
      <c r="AY72" s="5"/>
      <c r="AZ72" s="5"/>
      <c r="BA72" s="40"/>
      <c r="BB72" s="41"/>
      <c r="BC72" s="42"/>
      <c r="BD72" s="35"/>
      <c r="BE72" s="43">
        <f t="shared" si="48"/>
        <v>0</v>
      </c>
      <c r="BF72" s="35"/>
      <c r="BG72" s="44">
        <f t="shared" si="49"/>
        <v>0</v>
      </c>
      <c r="BU72" s="56"/>
      <c r="BV72" s="57"/>
      <c r="BW72" s="35"/>
      <c r="BX72" s="35"/>
      <c r="BY72" s="35"/>
      <c r="BZ72" s="35"/>
      <c r="CA72" s="60">
        <f t="shared" si="50"/>
        <v>0</v>
      </c>
      <c r="CB72" s="60">
        <f t="shared" si="51"/>
        <v>0</v>
      </c>
      <c r="CC72" s="78"/>
      <c r="CD72" s="60">
        <f t="shared" si="52"/>
        <v>0</v>
      </c>
      <c r="CE72" s="60">
        <f t="shared" si="53"/>
        <v>0</v>
      </c>
      <c r="CF72" s="134">
        <f>CD72*AB88/AE88</f>
        <v>0</v>
      </c>
      <c r="CG72" s="134">
        <f>CE72*AB88/AE88</f>
        <v>0</v>
      </c>
      <c r="CJ72" s="56"/>
      <c r="CK72" s="57"/>
      <c r="CL72" s="35"/>
      <c r="CM72" s="35"/>
      <c r="CN72" s="35"/>
      <c r="CO72" s="35"/>
      <c r="CP72" s="60">
        <f t="shared" ref="CP72:CP92" si="54">CL72-CN72</f>
        <v>0</v>
      </c>
      <c r="CQ72" s="60">
        <f t="shared" ref="CQ72:CQ92" si="55">CM72-CO72</f>
        <v>0</v>
      </c>
      <c r="CR72" s="78"/>
      <c r="CS72" s="60">
        <f t="shared" ref="CS72:CS92" si="56">CP72*CR72%</f>
        <v>0</v>
      </c>
      <c r="CT72" s="60">
        <f t="shared" ref="CT72:CT92" si="57">CQ72*CR72%</f>
        <v>0</v>
      </c>
      <c r="CU72" s="134">
        <f>CS72*AB88/AE88</f>
        <v>0</v>
      </c>
      <c r="CV72" s="61">
        <f>CT72*AB88/AE88</f>
        <v>0</v>
      </c>
    </row>
    <row r="73" spans="12:100" ht="15" customHeight="1" x14ac:dyDescent="0.2">
      <c r="L73" s="40"/>
      <c r="M73" s="49"/>
      <c r="N73" s="42"/>
      <c r="O73" s="42"/>
      <c r="P73" s="35"/>
      <c r="Q73" s="35"/>
      <c r="R73" s="53">
        <f t="shared" si="37"/>
        <v>0</v>
      </c>
      <c r="S73" s="53">
        <f t="shared" si="38"/>
        <v>0</v>
      </c>
      <c r="T73" s="44">
        <f t="shared" si="39"/>
        <v>0</v>
      </c>
      <c r="U73" s="5"/>
      <c r="W73" s="56"/>
      <c r="X73" s="57"/>
      <c r="Y73" s="35"/>
      <c r="Z73" s="35"/>
      <c r="AA73" s="35"/>
      <c r="AB73" s="35"/>
      <c r="AC73" s="60">
        <f t="shared" si="40"/>
        <v>0</v>
      </c>
      <c r="AD73" s="60">
        <f t="shared" si="41"/>
        <v>0</v>
      </c>
      <c r="AE73" s="78"/>
      <c r="AF73" s="60">
        <f t="shared" si="42"/>
        <v>0</v>
      </c>
      <c r="AG73" s="60">
        <f t="shared" si="43"/>
        <v>0</v>
      </c>
      <c r="AH73" s="134">
        <f>AF73*AB88/AE88</f>
        <v>0</v>
      </c>
      <c r="AI73" s="61">
        <f>AG73*AB88/AE88</f>
        <v>0</v>
      </c>
      <c r="AJ73" s="5"/>
      <c r="AK73" s="5"/>
      <c r="AL73" s="56"/>
      <c r="AM73" s="57"/>
      <c r="AN73" s="35"/>
      <c r="AO73" s="35"/>
      <c r="AP73" s="35"/>
      <c r="AQ73" s="35"/>
      <c r="AR73" s="60">
        <f t="shared" si="44"/>
        <v>0</v>
      </c>
      <c r="AS73" s="60">
        <f t="shared" si="45"/>
        <v>0</v>
      </c>
      <c r="AT73" s="78"/>
      <c r="AU73" s="60">
        <f t="shared" si="46"/>
        <v>0</v>
      </c>
      <c r="AV73" s="60">
        <f t="shared" si="47"/>
        <v>0</v>
      </c>
      <c r="AW73" s="134">
        <f>AU73*AB88/AE88</f>
        <v>0</v>
      </c>
      <c r="AX73" s="61">
        <f>AV73*AB88/AE88</f>
        <v>0</v>
      </c>
      <c r="AY73" s="5"/>
      <c r="AZ73" s="5"/>
      <c r="BA73" s="40"/>
      <c r="BB73" s="41"/>
      <c r="BC73" s="42"/>
      <c r="BD73" s="35"/>
      <c r="BE73" s="43">
        <f t="shared" si="48"/>
        <v>0</v>
      </c>
      <c r="BF73" s="35"/>
      <c r="BG73" s="44">
        <f t="shared" si="49"/>
        <v>0</v>
      </c>
      <c r="BU73" s="56"/>
      <c r="BV73" s="57"/>
      <c r="BW73" s="35"/>
      <c r="BX73" s="35"/>
      <c r="BY73" s="35"/>
      <c r="BZ73" s="35"/>
      <c r="CA73" s="60">
        <f t="shared" si="50"/>
        <v>0</v>
      </c>
      <c r="CB73" s="60">
        <f t="shared" si="51"/>
        <v>0</v>
      </c>
      <c r="CC73" s="78"/>
      <c r="CD73" s="60">
        <f t="shared" si="52"/>
        <v>0</v>
      </c>
      <c r="CE73" s="60">
        <f t="shared" si="53"/>
        <v>0</v>
      </c>
      <c r="CF73" s="134">
        <f>CD73*AB88/AE88</f>
        <v>0</v>
      </c>
      <c r="CG73" s="134">
        <f>CE73*AB88/AE88</f>
        <v>0</v>
      </c>
      <c r="CJ73" s="56"/>
      <c r="CK73" s="57"/>
      <c r="CL73" s="35"/>
      <c r="CM73" s="35"/>
      <c r="CN73" s="35"/>
      <c r="CO73" s="35"/>
      <c r="CP73" s="60">
        <f t="shared" si="54"/>
        <v>0</v>
      </c>
      <c r="CQ73" s="60">
        <f t="shared" si="55"/>
        <v>0</v>
      </c>
      <c r="CR73" s="78"/>
      <c r="CS73" s="60">
        <f t="shared" si="56"/>
        <v>0</v>
      </c>
      <c r="CT73" s="60">
        <f t="shared" si="57"/>
        <v>0</v>
      </c>
      <c r="CU73" s="134">
        <f>CS73*AB88/AE88</f>
        <v>0</v>
      </c>
      <c r="CV73" s="61">
        <f>CT73*AB88/AE88</f>
        <v>0</v>
      </c>
    </row>
    <row r="74" spans="12:100" ht="15" customHeight="1" x14ac:dyDescent="0.2">
      <c r="L74" s="40"/>
      <c r="M74" s="49"/>
      <c r="N74" s="42"/>
      <c r="O74" s="42"/>
      <c r="P74" s="35"/>
      <c r="Q74" s="35"/>
      <c r="R74" s="53">
        <f t="shared" si="37"/>
        <v>0</v>
      </c>
      <c r="S74" s="53">
        <f t="shared" si="38"/>
        <v>0</v>
      </c>
      <c r="T74" s="44">
        <f t="shared" si="39"/>
        <v>0</v>
      </c>
      <c r="U74" s="5"/>
      <c r="W74" s="56"/>
      <c r="X74" s="159"/>
      <c r="Y74" s="160"/>
      <c r="Z74" s="35"/>
      <c r="AA74" s="35"/>
      <c r="AB74" s="35"/>
      <c r="AC74" s="60">
        <f t="shared" si="40"/>
        <v>0</v>
      </c>
      <c r="AD74" s="60">
        <f t="shared" si="41"/>
        <v>0</v>
      </c>
      <c r="AE74" s="78"/>
      <c r="AF74" s="60">
        <f t="shared" si="42"/>
        <v>0</v>
      </c>
      <c r="AG74" s="60">
        <f t="shared" si="43"/>
        <v>0</v>
      </c>
      <c r="AH74" s="134">
        <f>AF74*AB88/AE88</f>
        <v>0</v>
      </c>
      <c r="AI74" s="61">
        <f>AG74*AB88/AE88</f>
        <v>0</v>
      </c>
      <c r="AJ74" s="5"/>
      <c r="AK74" s="5"/>
      <c r="AL74" s="56"/>
      <c r="AM74" s="159"/>
      <c r="AN74" s="160"/>
      <c r="AO74" s="35"/>
      <c r="AP74" s="35"/>
      <c r="AQ74" s="35"/>
      <c r="AR74" s="60">
        <f t="shared" si="44"/>
        <v>0</v>
      </c>
      <c r="AS74" s="60">
        <f t="shared" si="45"/>
        <v>0</v>
      </c>
      <c r="AT74" s="78"/>
      <c r="AU74" s="60">
        <f t="shared" si="46"/>
        <v>0</v>
      </c>
      <c r="AV74" s="60">
        <f t="shared" si="47"/>
        <v>0</v>
      </c>
      <c r="AW74" s="134">
        <f>AU74*AB88/AE88</f>
        <v>0</v>
      </c>
      <c r="AX74" s="61">
        <f>AV74*AB88/AE88</f>
        <v>0</v>
      </c>
      <c r="AY74" s="5"/>
      <c r="AZ74" s="5"/>
      <c r="BA74" s="40"/>
      <c r="BB74" s="41"/>
      <c r="BC74" s="42"/>
      <c r="BD74" s="35"/>
      <c r="BE74" s="43">
        <f t="shared" si="48"/>
        <v>0</v>
      </c>
      <c r="BF74" s="35"/>
      <c r="BG74" s="44">
        <f t="shared" si="49"/>
        <v>0</v>
      </c>
      <c r="BU74" s="56"/>
      <c r="BV74" s="57"/>
      <c r="BW74" s="35"/>
      <c r="BX74" s="35"/>
      <c r="BY74" s="35"/>
      <c r="BZ74" s="35"/>
      <c r="CA74" s="60">
        <f t="shared" si="50"/>
        <v>0</v>
      </c>
      <c r="CB74" s="60">
        <f t="shared" si="51"/>
        <v>0</v>
      </c>
      <c r="CC74" s="78"/>
      <c r="CD74" s="60">
        <f t="shared" si="52"/>
        <v>0</v>
      </c>
      <c r="CE74" s="60">
        <f t="shared" si="53"/>
        <v>0</v>
      </c>
      <c r="CF74" s="134">
        <f>CD74*AB88/AE88</f>
        <v>0</v>
      </c>
      <c r="CG74" s="134">
        <f>CE74*AB88/AE88</f>
        <v>0</v>
      </c>
      <c r="CJ74" s="56"/>
      <c r="CK74" s="57"/>
      <c r="CL74" s="35"/>
      <c r="CM74" s="35"/>
      <c r="CN74" s="35"/>
      <c r="CO74" s="35"/>
      <c r="CP74" s="60">
        <f t="shared" si="54"/>
        <v>0</v>
      </c>
      <c r="CQ74" s="60">
        <f t="shared" si="55"/>
        <v>0</v>
      </c>
      <c r="CR74" s="78"/>
      <c r="CS74" s="60">
        <f t="shared" si="56"/>
        <v>0</v>
      </c>
      <c r="CT74" s="60">
        <f t="shared" si="57"/>
        <v>0</v>
      </c>
      <c r="CU74" s="134">
        <f>CS74*AB88/AE88</f>
        <v>0</v>
      </c>
      <c r="CV74" s="61">
        <f>CT74*AB88/AE88</f>
        <v>0</v>
      </c>
    </row>
    <row r="75" spans="12:100" ht="14.25" x14ac:dyDescent="0.2">
      <c r="L75" s="40"/>
      <c r="M75" s="112"/>
      <c r="N75" s="42"/>
      <c r="O75" s="42"/>
      <c r="P75" s="35"/>
      <c r="Q75" s="35"/>
      <c r="R75" s="53">
        <f t="shared" si="37"/>
        <v>0</v>
      </c>
      <c r="S75" s="53">
        <f t="shared" si="38"/>
        <v>0</v>
      </c>
      <c r="T75" s="44">
        <f t="shared" si="39"/>
        <v>0</v>
      </c>
      <c r="U75" s="5"/>
      <c r="W75" s="56"/>
      <c r="X75" s="159"/>
      <c r="Y75" s="160"/>
      <c r="Z75" s="35"/>
      <c r="AA75" s="35"/>
      <c r="AB75" s="35"/>
      <c r="AC75" s="60">
        <f t="shared" si="40"/>
        <v>0</v>
      </c>
      <c r="AD75" s="60">
        <f t="shared" si="41"/>
        <v>0</v>
      </c>
      <c r="AE75" s="78"/>
      <c r="AF75" s="60">
        <f t="shared" si="42"/>
        <v>0</v>
      </c>
      <c r="AG75" s="60">
        <f t="shared" si="43"/>
        <v>0</v>
      </c>
      <c r="AH75" s="134">
        <f>AF75*AB88/AE88</f>
        <v>0</v>
      </c>
      <c r="AI75" s="61">
        <f>AG75*AB88/AE88</f>
        <v>0</v>
      </c>
      <c r="AJ75" s="5"/>
      <c r="AK75" s="5"/>
      <c r="AL75" s="56"/>
      <c r="AM75" s="159"/>
      <c r="AN75" s="160"/>
      <c r="AO75" s="35"/>
      <c r="AP75" s="35"/>
      <c r="AQ75" s="35"/>
      <c r="AR75" s="60">
        <f t="shared" si="44"/>
        <v>0</v>
      </c>
      <c r="AS75" s="60">
        <f t="shared" si="45"/>
        <v>0</v>
      </c>
      <c r="AT75" s="78"/>
      <c r="AU75" s="60">
        <f t="shared" si="46"/>
        <v>0</v>
      </c>
      <c r="AV75" s="60">
        <f t="shared" si="47"/>
        <v>0</v>
      </c>
      <c r="AW75" s="134">
        <f>AU75*AB88/AE88</f>
        <v>0</v>
      </c>
      <c r="AX75" s="61">
        <f>AV75*AB88/AE88</f>
        <v>0</v>
      </c>
      <c r="AY75" s="5"/>
      <c r="AZ75" s="5"/>
      <c r="BA75" s="40"/>
      <c r="BB75" s="41"/>
      <c r="BC75" s="42"/>
      <c r="BD75" s="35"/>
      <c r="BE75" s="43">
        <f t="shared" si="48"/>
        <v>0</v>
      </c>
      <c r="BF75" s="35"/>
      <c r="BG75" s="44">
        <f t="shared" si="49"/>
        <v>0</v>
      </c>
      <c r="BU75" s="56"/>
      <c r="BV75" s="57"/>
      <c r="BW75" s="35"/>
      <c r="BX75" s="35"/>
      <c r="BY75" s="35"/>
      <c r="BZ75" s="35"/>
      <c r="CA75" s="60">
        <f t="shared" si="50"/>
        <v>0</v>
      </c>
      <c r="CB75" s="60">
        <f t="shared" si="51"/>
        <v>0</v>
      </c>
      <c r="CC75" s="78"/>
      <c r="CD75" s="60">
        <f t="shared" si="52"/>
        <v>0</v>
      </c>
      <c r="CE75" s="60">
        <f t="shared" si="53"/>
        <v>0</v>
      </c>
      <c r="CF75" s="134">
        <f>CD75*AB88/AE88</f>
        <v>0</v>
      </c>
      <c r="CG75" s="134">
        <f>CE75*AB88/AE88</f>
        <v>0</v>
      </c>
      <c r="CJ75" s="56"/>
      <c r="CK75" s="57"/>
      <c r="CL75" s="35"/>
      <c r="CM75" s="35"/>
      <c r="CN75" s="35"/>
      <c r="CO75" s="35"/>
      <c r="CP75" s="60">
        <f t="shared" si="54"/>
        <v>0</v>
      </c>
      <c r="CQ75" s="60">
        <f t="shared" si="55"/>
        <v>0</v>
      </c>
      <c r="CR75" s="78"/>
      <c r="CS75" s="60">
        <f t="shared" si="56"/>
        <v>0</v>
      </c>
      <c r="CT75" s="60">
        <f t="shared" si="57"/>
        <v>0</v>
      </c>
      <c r="CU75" s="134">
        <f>CS75*AB88/AE88</f>
        <v>0</v>
      </c>
      <c r="CV75" s="61">
        <f>CT75*AB88/AE88</f>
        <v>0</v>
      </c>
    </row>
    <row r="76" spans="12:100" ht="14.25" x14ac:dyDescent="0.2">
      <c r="L76" s="40"/>
      <c r="M76" s="42"/>
      <c r="N76" s="42"/>
      <c r="O76" s="42"/>
      <c r="P76" s="35"/>
      <c r="Q76" s="35"/>
      <c r="R76" s="53">
        <f t="shared" si="37"/>
        <v>0</v>
      </c>
      <c r="S76" s="53">
        <f t="shared" si="38"/>
        <v>0</v>
      </c>
      <c r="T76" s="44">
        <f t="shared" si="39"/>
        <v>0</v>
      </c>
      <c r="U76" s="5"/>
      <c r="W76" s="56"/>
      <c r="X76" s="159"/>
      <c r="Y76" s="160"/>
      <c r="Z76" s="35"/>
      <c r="AA76" s="35"/>
      <c r="AB76" s="35"/>
      <c r="AC76" s="60">
        <f t="shared" si="40"/>
        <v>0</v>
      </c>
      <c r="AD76" s="60">
        <f t="shared" si="41"/>
        <v>0</v>
      </c>
      <c r="AE76" s="78"/>
      <c r="AF76" s="60">
        <f t="shared" si="42"/>
        <v>0</v>
      </c>
      <c r="AG76" s="60">
        <f t="shared" si="43"/>
        <v>0</v>
      </c>
      <c r="AH76" s="134">
        <f>AF76*AB88/AE88</f>
        <v>0</v>
      </c>
      <c r="AI76" s="61">
        <f>AG76*AB88/AE88</f>
        <v>0</v>
      </c>
      <c r="AJ76" s="5"/>
      <c r="AK76" s="5"/>
      <c r="AL76" s="56"/>
      <c r="AM76" s="159"/>
      <c r="AN76" s="160"/>
      <c r="AO76" s="35"/>
      <c r="AP76" s="35"/>
      <c r="AQ76" s="35"/>
      <c r="AR76" s="60">
        <f t="shared" si="44"/>
        <v>0</v>
      </c>
      <c r="AS76" s="60">
        <f t="shared" si="45"/>
        <v>0</v>
      </c>
      <c r="AT76" s="78"/>
      <c r="AU76" s="60">
        <f t="shared" si="46"/>
        <v>0</v>
      </c>
      <c r="AV76" s="60">
        <f t="shared" si="47"/>
        <v>0</v>
      </c>
      <c r="AW76" s="134">
        <f>AU76*AB88/AE88</f>
        <v>0</v>
      </c>
      <c r="AX76" s="61">
        <f>AV76*AB88/AE88</f>
        <v>0</v>
      </c>
      <c r="AY76" s="5"/>
      <c r="AZ76" s="5"/>
      <c r="BA76" s="40"/>
      <c r="BB76" s="41"/>
      <c r="BC76" s="42"/>
      <c r="BD76" s="35"/>
      <c r="BE76" s="43">
        <f t="shared" si="48"/>
        <v>0</v>
      </c>
      <c r="BF76" s="35"/>
      <c r="BG76" s="44">
        <f t="shared" si="49"/>
        <v>0</v>
      </c>
      <c r="BU76" s="56"/>
      <c r="BV76" s="57"/>
      <c r="BW76" s="35"/>
      <c r="BX76" s="35"/>
      <c r="BY76" s="35"/>
      <c r="BZ76" s="35"/>
      <c r="CA76" s="60">
        <f t="shared" si="50"/>
        <v>0</v>
      </c>
      <c r="CB76" s="60">
        <f t="shared" si="51"/>
        <v>0</v>
      </c>
      <c r="CC76" s="78"/>
      <c r="CD76" s="60">
        <f t="shared" si="52"/>
        <v>0</v>
      </c>
      <c r="CE76" s="60">
        <f t="shared" si="53"/>
        <v>0</v>
      </c>
      <c r="CF76" s="134">
        <f>CD76*AB88/AE88</f>
        <v>0</v>
      </c>
      <c r="CG76" s="134">
        <f>CE76*AB88/AE88</f>
        <v>0</v>
      </c>
      <c r="CJ76" s="56"/>
      <c r="CK76" s="57"/>
      <c r="CL76" s="35"/>
      <c r="CM76" s="35"/>
      <c r="CN76" s="35"/>
      <c r="CO76" s="35"/>
      <c r="CP76" s="60">
        <f t="shared" si="54"/>
        <v>0</v>
      </c>
      <c r="CQ76" s="60">
        <f t="shared" si="55"/>
        <v>0</v>
      </c>
      <c r="CR76" s="78"/>
      <c r="CS76" s="60">
        <f t="shared" si="56"/>
        <v>0</v>
      </c>
      <c r="CT76" s="60">
        <f t="shared" si="57"/>
        <v>0</v>
      </c>
      <c r="CU76" s="134">
        <f>CS76*AB88/AE88</f>
        <v>0</v>
      </c>
      <c r="CV76" s="61">
        <f>CT76*AB88/AE88</f>
        <v>0</v>
      </c>
    </row>
    <row r="77" spans="12:100" ht="15" x14ac:dyDescent="0.25">
      <c r="L77" s="113"/>
      <c r="M77" s="114" t="s">
        <v>21</v>
      </c>
      <c r="N77" s="115"/>
      <c r="O77" s="115"/>
      <c r="P77" s="116"/>
      <c r="Q77" s="116"/>
      <c r="R77" s="161">
        <f>SUM(R49:R76)</f>
        <v>6.6959999999999997</v>
      </c>
      <c r="S77" s="161">
        <f>SUM(S49:S76)</f>
        <v>0</v>
      </c>
      <c r="T77" s="161">
        <f>SUM(T49:T76)</f>
        <v>6.6959999999999997</v>
      </c>
      <c r="U77" s="5"/>
      <c r="W77" s="56"/>
      <c r="X77" s="133"/>
      <c r="Y77" s="35"/>
      <c r="Z77" s="35"/>
      <c r="AA77" s="35"/>
      <c r="AB77" s="35"/>
      <c r="AC77" s="60">
        <f t="shared" si="40"/>
        <v>0</v>
      </c>
      <c r="AD77" s="60">
        <f t="shared" si="41"/>
        <v>0</v>
      </c>
      <c r="AE77" s="78"/>
      <c r="AF77" s="60">
        <f t="shared" si="42"/>
        <v>0</v>
      </c>
      <c r="AG77" s="60">
        <f t="shared" si="43"/>
        <v>0</v>
      </c>
      <c r="AH77" s="134">
        <f>AF77*AB88/AE88</f>
        <v>0</v>
      </c>
      <c r="AI77" s="61">
        <f>AG77*AB88/AE88</f>
        <v>0</v>
      </c>
      <c r="AJ77" s="5"/>
      <c r="AK77" s="5"/>
      <c r="AL77" s="56"/>
      <c r="AM77" s="133"/>
      <c r="AN77" s="35"/>
      <c r="AO77" s="35"/>
      <c r="AP77" s="35"/>
      <c r="AQ77" s="35"/>
      <c r="AR77" s="60">
        <f t="shared" si="44"/>
        <v>0</v>
      </c>
      <c r="AS77" s="60">
        <f t="shared" si="45"/>
        <v>0</v>
      </c>
      <c r="AT77" s="78"/>
      <c r="AU77" s="60">
        <f t="shared" si="46"/>
        <v>0</v>
      </c>
      <c r="AV77" s="60">
        <f t="shared" si="47"/>
        <v>0</v>
      </c>
      <c r="AW77" s="134">
        <f>AU77*AB88/AE88</f>
        <v>0</v>
      </c>
      <c r="AX77" s="61">
        <f>AV77*AB88/AE88</f>
        <v>0</v>
      </c>
      <c r="AY77" s="5"/>
      <c r="AZ77" s="5"/>
      <c r="BA77" s="40"/>
      <c r="BB77" s="41"/>
      <c r="BC77" s="42"/>
      <c r="BD77" s="35"/>
      <c r="BE77" s="43">
        <f t="shared" si="48"/>
        <v>0</v>
      </c>
      <c r="BF77" s="35"/>
      <c r="BG77" s="44">
        <f t="shared" si="49"/>
        <v>0</v>
      </c>
      <c r="BU77" s="56"/>
      <c r="BV77" s="57"/>
      <c r="BW77" s="35"/>
      <c r="BX77" s="35"/>
      <c r="BY77" s="35"/>
      <c r="BZ77" s="35"/>
      <c r="CA77" s="60">
        <f t="shared" si="50"/>
        <v>0</v>
      </c>
      <c r="CB77" s="60">
        <f t="shared" si="51"/>
        <v>0</v>
      </c>
      <c r="CC77" s="78"/>
      <c r="CD77" s="60">
        <f t="shared" si="52"/>
        <v>0</v>
      </c>
      <c r="CE77" s="60">
        <f t="shared" si="53"/>
        <v>0</v>
      </c>
      <c r="CF77" s="134">
        <f>CD77*AB88/AE88</f>
        <v>0</v>
      </c>
      <c r="CG77" s="134">
        <f>CE77*AB88/AE88</f>
        <v>0</v>
      </c>
      <c r="CJ77" s="56"/>
      <c r="CK77" s="57"/>
      <c r="CL77" s="35"/>
      <c r="CM77" s="35"/>
      <c r="CN77" s="35"/>
      <c r="CO77" s="35"/>
      <c r="CP77" s="60">
        <f t="shared" si="54"/>
        <v>0</v>
      </c>
      <c r="CQ77" s="60">
        <f t="shared" si="55"/>
        <v>0</v>
      </c>
      <c r="CR77" s="78"/>
      <c r="CS77" s="60">
        <f t="shared" si="56"/>
        <v>0</v>
      </c>
      <c r="CT77" s="60">
        <f t="shared" si="57"/>
        <v>0</v>
      </c>
      <c r="CU77" s="134">
        <f>CS77*AB88/AE88</f>
        <v>0</v>
      </c>
      <c r="CV77" s="61">
        <f>CT77*AB88/AE88</f>
        <v>0</v>
      </c>
    </row>
    <row r="78" spans="12:100" ht="14.25" x14ac:dyDescent="0.2">
      <c r="L78" s="5"/>
      <c r="M78" s="5"/>
      <c r="N78" s="5"/>
      <c r="O78" s="5"/>
      <c r="P78" s="5"/>
      <c r="Q78" s="5"/>
      <c r="R78" s="5"/>
      <c r="S78" s="5"/>
      <c r="T78" s="5"/>
      <c r="U78" s="5"/>
      <c r="W78" s="56"/>
      <c r="X78" s="133"/>
      <c r="Y78" s="35"/>
      <c r="Z78" s="35"/>
      <c r="AA78" s="35"/>
      <c r="AB78" s="35"/>
      <c r="AC78" s="60">
        <f t="shared" si="40"/>
        <v>0</v>
      </c>
      <c r="AD78" s="60">
        <f t="shared" si="41"/>
        <v>0</v>
      </c>
      <c r="AE78" s="78"/>
      <c r="AF78" s="60">
        <f t="shared" si="42"/>
        <v>0</v>
      </c>
      <c r="AG78" s="60">
        <f t="shared" si="43"/>
        <v>0</v>
      </c>
      <c r="AH78" s="134">
        <f>AF78*AB88/AE88</f>
        <v>0</v>
      </c>
      <c r="AI78" s="61">
        <f>AG78*AB88/AE88</f>
        <v>0</v>
      </c>
      <c r="AJ78" s="5"/>
      <c r="AK78" s="5"/>
      <c r="AL78" s="56"/>
      <c r="AM78" s="133"/>
      <c r="AN78" s="35"/>
      <c r="AO78" s="35"/>
      <c r="AP78" s="35"/>
      <c r="AQ78" s="35"/>
      <c r="AR78" s="60">
        <f t="shared" si="44"/>
        <v>0</v>
      </c>
      <c r="AS78" s="60">
        <f t="shared" si="45"/>
        <v>0</v>
      </c>
      <c r="AT78" s="78"/>
      <c r="AU78" s="60">
        <f t="shared" si="46"/>
        <v>0</v>
      </c>
      <c r="AV78" s="60">
        <f t="shared" si="47"/>
        <v>0</v>
      </c>
      <c r="AW78" s="134">
        <f>AU78*AB88/AE88</f>
        <v>0</v>
      </c>
      <c r="AX78" s="61">
        <f>AV78*AB88/AE88</f>
        <v>0</v>
      </c>
      <c r="AY78" s="5"/>
      <c r="AZ78" s="5"/>
      <c r="BA78" s="40"/>
      <c r="BB78" s="41"/>
      <c r="BC78" s="42"/>
      <c r="BD78" s="35"/>
      <c r="BE78" s="43">
        <f t="shared" si="48"/>
        <v>0</v>
      </c>
      <c r="BF78" s="35"/>
      <c r="BG78" s="44">
        <f t="shared" si="49"/>
        <v>0</v>
      </c>
      <c r="BU78" s="56"/>
      <c r="BV78" s="57"/>
      <c r="BW78" s="35"/>
      <c r="BX78" s="35"/>
      <c r="BY78" s="35"/>
      <c r="BZ78" s="35"/>
      <c r="CA78" s="60">
        <f t="shared" si="50"/>
        <v>0</v>
      </c>
      <c r="CB78" s="60">
        <f t="shared" si="51"/>
        <v>0</v>
      </c>
      <c r="CC78" s="78"/>
      <c r="CD78" s="60">
        <f t="shared" si="52"/>
        <v>0</v>
      </c>
      <c r="CE78" s="60">
        <f t="shared" si="53"/>
        <v>0</v>
      </c>
      <c r="CF78" s="134">
        <f>CD78*AB88/AE88</f>
        <v>0</v>
      </c>
      <c r="CG78" s="134">
        <f>CE78*AB88/AE88</f>
        <v>0</v>
      </c>
      <c r="CJ78" s="56"/>
      <c r="CK78" s="57"/>
      <c r="CL78" s="35"/>
      <c r="CM78" s="35"/>
      <c r="CN78" s="35"/>
      <c r="CO78" s="35"/>
      <c r="CP78" s="60">
        <f t="shared" si="54"/>
        <v>0</v>
      </c>
      <c r="CQ78" s="60">
        <f t="shared" si="55"/>
        <v>0</v>
      </c>
      <c r="CR78" s="78"/>
      <c r="CS78" s="60">
        <f t="shared" si="56"/>
        <v>0</v>
      </c>
      <c r="CT78" s="60">
        <f t="shared" si="57"/>
        <v>0</v>
      </c>
      <c r="CU78" s="134">
        <f>CS78*AB88/AE88</f>
        <v>0</v>
      </c>
      <c r="CV78" s="61">
        <f>CT78*AB88/AE88</f>
        <v>0</v>
      </c>
    </row>
    <row r="79" spans="12:100" ht="14.25" x14ac:dyDescent="0.2">
      <c r="L79" s="5"/>
      <c r="M79" s="5"/>
      <c r="N79" s="5"/>
      <c r="O79" s="5"/>
      <c r="P79" s="5"/>
      <c r="Q79" s="5"/>
      <c r="R79" s="5"/>
      <c r="S79" s="5"/>
      <c r="T79" s="5"/>
      <c r="U79" s="5"/>
      <c r="W79" s="56"/>
      <c r="X79" s="57"/>
      <c r="Y79" s="35"/>
      <c r="Z79" s="35"/>
      <c r="AA79" s="35"/>
      <c r="AB79" s="35"/>
      <c r="AC79" s="60">
        <f t="shared" si="40"/>
        <v>0</v>
      </c>
      <c r="AD79" s="60">
        <f t="shared" si="41"/>
        <v>0</v>
      </c>
      <c r="AE79" s="78"/>
      <c r="AF79" s="60">
        <f t="shared" si="42"/>
        <v>0</v>
      </c>
      <c r="AG79" s="60">
        <f t="shared" si="43"/>
        <v>0</v>
      </c>
      <c r="AH79" s="134">
        <f>AF79*AB88/AE88</f>
        <v>0</v>
      </c>
      <c r="AI79" s="61">
        <f>AG79*AB88/AE88</f>
        <v>0</v>
      </c>
      <c r="AJ79" s="5"/>
      <c r="AK79" s="5"/>
      <c r="AL79" s="56"/>
      <c r="AM79" s="57"/>
      <c r="AN79" s="35"/>
      <c r="AO79" s="35"/>
      <c r="AP79" s="35"/>
      <c r="AQ79" s="35"/>
      <c r="AR79" s="60">
        <f t="shared" si="44"/>
        <v>0</v>
      </c>
      <c r="AS79" s="60">
        <f t="shared" si="45"/>
        <v>0</v>
      </c>
      <c r="AT79" s="78"/>
      <c r="AU79" s="60">
        <f t="shared" si="46"/>
        <v>0</v>
      </c>
      <c r="AV79" s="60">
        <f t="shared" si="47"/>
        <v>0</v>
      </c>
      <c r="AW79" s="134">
        <f>AU79*AB88/AE88</f>
        <v>0</v>
      </c>
      <c r="AX79" s="61">
        <f>AV79*AB88/AE88</f>
        <v>0</v>
      </c>
      <c r="AY79" s="5"/>
      <c r="AZ79" s="5"/>
      <c r="BA79" s="40"/>
      <c r="BB79" s="41"/>
      <c r="BC79" s="42"/>
      <c r="BD79" s="35"/>
      <c r="BE79" s="43">
        <f t="shared" si="48"/>
        <v>0</v>
      </c>
      <c r="BF79" s="35"/>
      <c r="BG79" s="44">
        <f t="shared" si="49"/>
        <v>0</v>
      </c>
      <c r="BU79" s="56"/>
      <c r="BV79" s="57"/>
      <c r="BW79" s="35"/>
      <c r="BX79" s="35"/>
      <c r="BY79" s="35"/>
      <c r="BZ79" s="35"/>
      <c r="CA79" s="60">
        <f t="shared" si="50"/>
        <v>0</v>
      </c>
      <c r="CB79" s="60">
        <f t="shared" si="51"/>
        <v>0</v>
      </c>
      <c r="CC79" s="78"/>
      <c r="CD79" s="60">
        <f t="shared" si="52"/>
        <v>0</v>
      </c>
      <c r="CE79" s="60">
        <f t="shared" si="53"/>
        <v>0</v>
      </c>
      <c r="CF79" s="134">
        <f>CD79*AB88/AE88</f>
        <v>0</v>
      </c>
      <c r="CG79" s="134">
        <f>CE79*AB88/AE88</f>
        <v>0</v>
      </c>
      <c r="CJ79" s="56"/>
      <c r="CK79" s="57"/>
      <c r="CL79" s="35"/>
      <c r="CM79" s="35"/>
      <c r="CN79" s="35"/>
      <c r="CO79" s="35"/>
      <c r="CP79" s="60">
        <f t="shared" si="54"/>
        <v>0</v>
      </c>
      <c r="CQ79" s="60">
        <f t="shared" si="55"/>
        <v>0</v>
      </c>
      <c r="CR79" s="78"/>
      <c r="CS79" s="60">
        <f t="shared" si="56"/>
        <v>0</v>
      </c>
      <c r="CT79" s="60">
        <f t="shared" si="57"/>
        <v>0</v>
      </c>
      <c r="CU79" s="134">
        <f>CS79*AB88/AE88</f>
        <v>0</v>
      </c>
      <c r="CV79" s="61">
        <f>CT79*AB88/AE88</f>
        <v>0</v>
      </c>
    </row>
    <row r="80" spans="12:100" ht="15" x14ac:dyDescent="0.25">
      <c r="W80" s="171" t="s">
        <v>21</v>
      </c>
      <c r="X80" s="171"/>
      <c r="Y80" s="171"/>
      <c r="Z80" s="171"/>
      <c r="AA80" s="171"/>
      <c r="AB80" s="171"/>
      <c r="AC80" s="90"/>
      <c r="AD80" s="90">
        <f>SUM(AD45:AD48)</f>
        <v>0</v>
      </c>
      <c r="AE80" s="162"/>
      <c r="AF80" s="90">
        <f>SUM(AF45:AF79)</f>
        <v>1310.46012</v>
      </c>
      <c r="AG80" s="90">
        <f>SUM(AG45:AG79)</f>
        <v>0</v>
      </c>
      <c r="AH80" s="120">
        <f>SUM(AH45:AH79)</f>
        <v>1.8959203124999998E-3</v>
      </c>
      <c r="AI80" s="120">
        <f>SUM(AI45:AI79)</f>
        <v>0</v>
      </c>
      <c r="AJ80" s="5"/>
      <c r="AK80" s="5"/>
      <c r="AL80" s="171" t="s">
        <v>21</v>
      </c>
      <c r="AM80" s="171"/>
      <c r="AN80" s="171"/>
      <c r="AO80" s="171"/>
      <c r="AP80" s="171"/>
      <c r="AQ80" s="171"/>
      <c r="AR80" s="90"/>
      <c r="AS80" s="90"/>
      <c r="AT80" s="162"/>
      <c r="AU80" s="90">
        <f>SUM(AU45:AU79)</f>
        <v>0</v>
      </c>
      <c r="AV80" s="90">
        <f>SUM(AV45:AV79)</f>
        <v>0</v>
      </c>
      <c r="AW80" s="120">
        <f>SUM(AW45:AW79)</f>
        <v>0</v>
      </c>
      <c r="AX80" s="120">
        <f>SUM(AX45:AX79)</f>
        <v>0</v>
      </c>
      <c r="AY80" s="5"/>
      <c r="AZ80" s="5"/>
      <c r="BA80" s="40"/>
      <c r="BB80" s="41"/>
      <c r="BC80" s="42"/>
      <c r="BD80" s="35"/>
      <c r="BE80" s="43">
        <f t="shared" si="48"/>
        <v>0</v>
      </c>
      <c r="BF80" s="35"/>
      <c r="BG80" s="44">
        <f t="shared" si="49"/>
        <v>0</v>
      </c>
      <c r="BU80" s="56"/>
      <c r="BV80" s="57"/>
      <c r="BW80" s="35"/>
      <c r="BX80" s="35"/>
      <c r="BY80" s="35"/>
      <c r="BZ80" s="35"/>
      <c r="CA80" s="60">
        <f t="shared" si="50"/>
        <v>0</v>
      </c>
      <c r="CB80" s="60">
        <f t="shared" si="51"/>
        <v>0</v>
      </c>
      <c r="CC80" s="78"/>
      <c r="CD80" s="60">
        <f t="shared" si="52"/>
        <v>0</v>
      </c>
      <c r="CE80" s="60">
        <f t="shared" si="53"/>
        <v>0</v>
      </c>
      <c r="CF80" s="134">
        <f>CD80*AB88/AE88</f>
        <v>0</v>
      </c>
      <c r="CG80" s="134">
        <f>CE80*AB88/AE88</f>
        <v>0</v>
      </c>
      <c r="CJ80" s="56"/>
      <c r="CK80" s="57"/>
      <c r="CL80" s="35"/>
      <c r="CM80" s="35"/>
      <c r="CN80" s="35"/>
      <c r="CO80" s="35"/>
      <c r="CP80" s="60">
        <f t="shared" si="54"/>
        <v>0</v>
      </c>
      <c r="CQ80" s="60">
        <f t="shared" si="55"/>
        <v>0</v>
      </c>
      <c r="CR80" s="78"/>
      <c r="CS80" s="60">
        <f t="shared" si="56"/>
        <v>0</v>
      </c>
      <c r="CT80" s="60">
        <f t="shared" si="57"/>
        <v>0</v>
      </c>
      <c r="CU80" s="134">
        <f>CS80*AB88/AE88</f>
        <v>0</v>
      </c>
      <c r="CV80" s="61">
        <f>CT80*AB88/AE88</f>
        <v>0</v>
      </c>
    </row>
    <row r="81" spans="12:100" ht="15" x14ac:dyDescent="0.25">
      <c r="L81" s="172" t="s">
        <v>140</v>
      </c>
      <c r="M81" s="172"/>
      <c r="N81" s="172"/>
      <c r="O81" s="172"/>
      <c r="P81" s="172"/>
      <c r="Q81" s="172"/>
      <c r="R81" s="172"/>
      <c r="S81" s="172"/>
      <c r="T81" s="172"/>
      <c r="W81" s="8"/>
      <c r="X81" s="5"/>
      <c r="Y81" s="5"/>
      <c r="Z81" s="9"/>
      <c r="AA81" s="9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40"/>
      <c r="BB81" s="41"/>
      <c r="BC81" s="42"/>
      <c r="BD81" s="35"/>
      <c r="BE81" s="43">
        <f t="shared" si="48"/>
        <v>0</v>
      </c>
      <c r="BF81" s="35"/>
      <c r="BG81" s="44">
        <f t="shared" si="49"/>
        <v>0</v>
      </c>
      <c r="BU81" s="56"/>
      <c r="BV81" s="57"/>
      <c r="BW81" s="35"/>
      <c r="BX81" s="35"/>
      <c r="BY81" s="35"/>
      <c r="BZ81" s="35"/>
      <c r="CA81" s="60">
        <f t="shared" si="50"/>
        <v>0</v>
      </c>
      <c r="CB81" s="60">
        <f t="shared" si="51"/>
        <v>0</v>
      </c>
      <c r="CC81" s="78"/>
      <c r="CD81" s="60">
        <f t="shared" si="52"/>
        <v>0</v>
      </c>
      <c r="CE81" s="60">
        <f t="shared" si="53"/>
        <v>0</v>
      </c>
      <c r="CF81" s="134">
        <f>CD81*AB88/AE88</f>
        <v>0</v>
      </c>
      <c r="CG81" s="134">
        <f>CE81*AB88/AE88</f>
        <v>0</v>
      </c>
      <c r="CJ81" s="56"/>
      <c r="CK81" s="57"/>
      <c r="CL81" s="35"/>
      <c r="CM81" s="35"/>
      <c r="CN81" s="35"/>
      <c r="CO81" s="35"/>
      <c r="CP81" s="60">
        <f t="shared" si="54"/>
        <v>0</v>
      </c>
      <c r="CQ81" s="60">
        <f t="shared" si="55"/>
        <v>0</v>
      </c>
      <c r="CR81" s="78"/>
      <c r="CS81" s="60">
        <f t="shared" si="56"/>
        <v>0</v>
      </c>
      <c r="CT81" s="60">
        <f t="shared" si="57"/>
        <v>0</v>
      </c>
      <c r="CU81" s="134">
        <f>CS81*AB88/AE88</f>
        <v>0</v>
      </c>
      <c r="CV81" s="61">
        <f>CT81*AB88/AE88</f>
        <v>0</v>
      </c>
    </row>
    <row r="82" spans="12:100" ht="15" x14ac:dyDescent="0.25">
      <c r="L82" s="5"/>
      <c r="M82" s="5"/>
      <c r="N82" s="5"/>
      <c r="O82" s="5"/>
      <c r="P82" s="5"/>
      <c r="Q82" s="5"/>
      <c r="R82" s="5"/>
      <c r="S82" s="5"/>
      <c r="T82" s="5"/>
      <c r="W82" s="8"/>
      <c r="X82" s="5"/>
      <c r="Y82" s="5"/>
      <c r="Z82" s="9"/>
      <c r="AA82" s="9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173" t="s">
        <v>103</v>
      </c>
      <c r="BB82" s="173"/>
      <c r="BC82" s="173"/>
      <c r="BD82" s="116"/>
      <c r="BE82" s="163"/>
      <c r="BF82" s="116"/>
      <c r="BG82" s="117">
        <f>SUM(BG44:BG81)</f>
        <v>0</v>
      </c>
      <c r="BU82" s="56"/>
      <c r="BV82" s="57"/>
      <c r="BW82" s="35"/>
      <c r="BX82" s="35"/>
      <c r="BY82" s="35"/>
      <c r="BZ82" s="35"/>
      <c r="CA82" s="60">
        <f t="shared" si="50"/>
        <v>0</v>
      </c>
      <c r="CB82" s="60">
        <f t="shared" si="51"/>
        <v>0</v>
      </c>
      <c r="CC82" s="78"/>
      <c r="CD82" s="60">
        <f t="shared" si="52"/>
        <v>0</v>
      </c>
      <c r="CE82" s="60">
        <f t="shared" si="53"/>
        <v>0</v>
      </c>
      <c r="CF82" s="134">
        <f>CD82*AB88/AE88</f>
        <v>0</v>
      </c>
      <c r="CG82" s="134">
        <f>CE82*AB88/AE88</f>
        <v>0</v>
      </c>
      <c r="CJ82" s="56"/>
      <c r="CK82" s="57"/>
      <c r="CL82" s="35"/>
      <c r="CM82" s="35"/>
      <c r="CN82" s="35"/>
      <c r="CO82" s="35"/>
      <c r="CP82" s="60">
        <f t="shared" si="54"/>
        <v>0</v>
      </c>
      <c r="CQ82" s="60">
        <f t="shared" si="55"/>
        <v>0</v>
      </c>
      <c r="CR82" s="78"/>
      <c r="CS82" s="60">
        <f t="shared" si="56"/>
        <v>0</v>
      </c>
      <c r="CT82" s="60">
        <f t="shared" si="57"/>
        <v>0</v>
      </c>
      <c r="CU82" s="134">
        <f>CS82*AB88/AE88</f>
        <v>0</v>
      </c>
      <c r="CV82" s="61">
        <f>CT82*AB88/AE88</f>
        <v>0</v>
      </c>
    </row>
    <row r="83" spans="12:100" ht="15" x14ac:dyDescent="0.25">
      <c r="L83" s="174" t="s">
        <v>38</v>
      </c>
      <c r="M83" s="175" t="s">
        <v>16</v>
      </c>
      <c r="N83" s="176" t="s">
        <v>17</v>
      </c>
      <c r="O83" s="164" t="s">
        <v>18</v>
      </c>
      <c r="P83" s="177" t="s">
        <v>19</v>
      </c>
      <c r="Q83" s="177"/>
      <c r="R83" s="175" t="s">
        <v>20</v>
      </c>
      <c r="S83" s="175"/>
      <c r="T83" s="178" t="s">
        <v>21</v>
      </c>
      <c r="W83" s="8"/>
      <c r="X83" s="5"/>
      <c r="Y83" s="5"/>
      <c r="Z83" s="9"/>
      <c r="AA83" s="9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/>
      <c r="BB83"/>
      <c r="BC83"/>
      <c r="BD83"/>
      <c r="BE83"/>
      <c r="BF83"/>
      <c r="BG83"/>
      <c r="BU83" s="56"/>
      <c r="BV83" s="57"/>
      <c r="BW83" s="35"/>
      <c r="BX83" s="35"/>
      <c r="BY83" s="35"/>
      <c r="BZ83" s="35"/>
      <c r="CA83" s="60">
        <f t="shared" si="50"/>
        <v>0</v>
      </c>
      <c r="CB83" s="60">
        <f t="shared" si="51"/>
        <v>0</v>
      </c>
      <c r="CC83" s="78"/>
      <c r="CD83" s="60">
        <f t="shared" si="52"/>
        <v>0</v>
      </c>
      <c r="CE83" s="60">
        <f t="shared" si="53"/>
        <v>0</v>
      </c>
      <c r="CF83" s="134">
        <f>CD83*AB88/AE88</f>
        <v>0</v>
      </c>
      <c r="CG83" s="134">
        <f>CE83*AB88/AE88</f>
        <v>0</v>
      </c>
      <c r="CJ83" s="56"/>
      <c r="CK83" s="57"/>
      <c r="CL83" s="35"/>
      <c r="CM83" s="35"/>
      <c r="CN83" s="35"/>
      <c r="CO83" s="35"/>
      <c r="CP83" s="60">
        <f t="shared" si="54"/>
        <v>0</v>
      </c>
      <c r="CQ83" s="60">
        <f t="shared" si="55"/>
        <v>0</v>
      </c>
      <c r="CR83" s="78"/>
      <c r="CS83" s="60">
        <f t="shared" si="56"/>
        <v>0</v>
      </c>
      <c r="CT83" s="60">
        <f t="shared" si="57"/>
        <v>0</v>
      </c>
      <c r="CU83" s="134">
        <f>CS83*AB88/AE88</f>
        <v>0</v>
      </c>
      <c r="CV83" s="61">
        <f>CT83*AB88/AE88</f>
        <v>0</v>
      </c>
    </row>
    <row r="84" spans="12:100" ht="15" x14ac:dyDescent="0.25">
      <c r="L84" s="174"/>
      <c r="M84" s="175"/>
      <c r="N84" s="176"/>
      <c r="O84" s="165" t="s">
        <v>43</v>
      </c>
      <c r="P84" s="166" t="s">
        <v>44</v>
      </c>
      <c r="Q84" s="31" t="s">
        <v>45</v>
      </c>
      <c r="R84" s="31" t="s">
        <v>44</v>
      </c>
      <c r="S84" s="31" t="s">
        <v>45</v>
      </c>
      <c r="T84" s="178"/>
      <c r="W84" s="8"/>
      <c r="X84" s="5"/>
      <c r="Y84" s="5"/>
      <c r="Z84" s="9"/>
      <c r="AA84" s="9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/>
      <c r="BB84"/>
      <c r="BC84"/>
      <c r="BD84"/>
      <c r="BE84"/>
      <c r="BF84"/>
      <c r="BG84"/>
      <c r="BU84" s="56"/>
      <c r="BV84" s="57"/>
      <c r="BW84" s="35"/>
      <c r="BX84" s="35"/>
      <c r="BY84" s="35"/>
      <c r="BZ84" s="35"/>
      <c r="CA84" s="60">
        <f t="shared" si="50"/>
        <v>0</v>
      </c>
      <c r="CB84" s="60">
        <f t="shared" si="51"/>
        <v>0</v>
      </c>
      <c r="CC84" s="78"/>
      <c r="CD84" s="60">
        <f t="shared" si="52"/>
        <v>0</v>
      </c>
      <c r="CE84" s="60">
        <f t="shared" si="53"/>
        <v>0</v>
      </c>
      <c r="CF84" s="134">
        <f>CD84*AB88/AE88</f>
        <v>0</v>
      </c>
      <c r="CG84" s="134">
        <f>CE84*AB88/AE88</f>
        <v>0</v>
      </c>
      <c r="CJ84" s="56"/>
      <c r="CK84" s="57"/>
      <c r="CL84" s="35"/>
      <c r="CM84" s="35"/>
      <c r="CN84" s="35"/>
      <c r="CO84" s="35"/>
      <c r="CP84" s="60">
        <f t="shared" si="54"/>
        <v>0</v>
      </c>
      <c r="CQ84" s="60">
        <f t="shared" si="55"/>
        <v>0</v>
      </c>
      <c r="CR84" s="78"/>
      <c r="CS84" s="60">
        <f t="shared" si="56"/>
        <v>0</v>
      </c>
      <c r="CT84" s="60">
        <f t="shared" si="57"/>
        <v>0</v>
      </c>
      <c r="CU84" s="134">
        <f>CS84*AB88/AE88</f>
        <v>0</v>
      </c>
      <c r="CV84" s="61">
        <f>CT84*AB88/AE88</f>
        <v>0</v>
      </c>
    </row>
    <row r="85" spans="12:100" ht="14.25" x14ac:dyDescent="0.2">
      <c r="L85" s="40"/>
      <c r="M85" s="49"/>
      <c r="N85" s="42"/>
      <c r="O85" s="167"/>
      <c r="P85" s="35"/>
      <c r="Q85" s="35"/>
      <c r="R85" s="50"/>
      <c r="S85" s="50">
        <f>O85*Q85</f>
        <v>0</v>
      </c>
      <c r="T85" s="51">
        <f>R85+S85</f>
        <v>0</v>
      </c>
      <c r="W85" s="8"/>
      <c r="X85" s="5"/>
      <c r="Y85" s="5"/>
      <c r="Z85" s="9"/>
      <c r="AA85" s="9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U85" s="56"/>
      <c r="BV85" s="57"/>
      <c r="BW85" s="35"/>
      <c r="BX85" s="35"/>
      <c r="BY85" s="35"/>
      <c r="BZ85" s="35"/>
      <c r="CA85" s="60">
        <f t="shared" si="50"/>
        <v>0</v>
      </c>
      <c r="CB85" s="60">
        <f t="shared" si="51"/>
        <v>0</v>
      </c>
      <c r="CC85" s="78"/>
      <c r="CD85" s="60">
        <f t="shared" si="52"/>
        <v>0</v>
      </c>
      <c r="CE85" s="60">
        <f t="shared" si="53"/>
        <v>0</v>
      </c>
      <c r="CF85" s="134">
        <f>CD85*AB88/AE88</f>
        <v>0</v>
      </c>
      <c r="CG85" s="134">
        <f>CE85*AB88/AE88</f>
        <v>0</v>
      </c>
      <c r="CJ85" s="56"/>
      <c r="CK85" s="57"/>
      <c r="CL85" s="35"/>
      <c r="CM85" s="35"/>
      <c r="CN85" s="35"/>
      <c r="CO85" s="35"/>
      <c r="CP85" s="60">
        <f t="shared" si="54"/>
        <v>0</v>
      </c>
      <c r="CQ85" s="60">
        <f t="shared" si="55"/>
        <v>0</v>
      </c>
      <c r="CR85" s="78"/>
      <c r="CS85" s="60">
        <f t="shared" si="56"/>
        <v>0</v>
      </c>
      <c r="CT85" s="60">
        <f t="shared" si="57"/>
        <v>0</v>
      </c>
      <c r="CU85" s="134">
        <f>CS85*AB88/AE88</f>
        <v>0</v>
      </c>
      <c r="CV85" s="61">
        <f>CT85*AB88/AE88</f>
        <v>0</v>
      </c>
    </row>
    <row r="86" spans="12:100" ht="14.25" x14ac:dyDescent="0.2">
      <c r="L86" s="40"/>
      <c r="M86" s="49"/>
      <c r="N86" s="42"/>
      <c r="O86" s="42"/>
      <c r="P86" s="35"/>
      <c r="Q86" s="35"/>
      <c r="R86" s="50">
        <f>O86*P86</f>
        <v>0</v>
      </c>
      <c r="S86" s="50">
        <f>O86*Q86</f>
        <v>0</v>
      </c>
      <c r="T86" s="51">
        <f>R86+S86</f>
        <v>0</v>
      </c>
      <c r="W86" s="8"/>
      <c r="X86" s="5"/>
      <c r="Y86" s="5"/>
      <c r="Z86" s="9"/>
      <c r="AA86" s="9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U86" s="56"/>
      <c r="BV86" s="159"/>
      <c r="BW86" s="160"/>
      <c r="BX86" s="35"/>
      <c r="BY86" s="35"/>
      <c r="BZ86" s="35"/>
      <c r="CA86" s="60">
        <f t="shared" si="50"/>
        <v>0</v>
      </c>
      <c r="CB86" s="60">
        <f t="shared" si="51"/>
        <v>0</v>
      </c>
      <c r="CC86" s="78"/>
      <c r="CD86" s="60">
        <f t="shared" si="52"/>
        <v>0</v>
      </c>
      <c r="CE86" s="60">
        <f t="shared" si="53"/>
        <v>0</v>
      </c>
      <c r="CF86" s="134">
        <f>CD86*AB88/AE88</f>
        <v>0</v>
      </c>
      <c r="CG86" s="134">
        <f>CE86*AB88/AE88</f>
        <v>0</v>
      </c>
      <c r="CJ86" s="56"/>
      <c r="CK86" s="57"/>
      <c r="CL86" s="35"/>
      <c r="CM86" s="35"/>
      <c r="CN86" s="35"/>
      <c r="CO86" s="35"/>
      <c r="CP86" s="60">
        <f t="shared" si="54"/>
        <v>0</v>
      </c>
      <c r="CQ86" s="60">
        <f t="shared" si="55"/>
        <v>0</v>
      </c>
      <c r="CR86" s="78"/>
      <c r="CS86" s="60">
        <f t="shared" si="56"/>
        <v>0</v>
      </c>
      <c r="CT86" s="60">
        <f t="shared" si="57"/>
        <v>0</v>
      </c>
      <c r="CU86" s="134">
        <f>CS86*AB88/AE88</f>
        <v>0</v>
      </c>
      <c r="CV86" s="61">
        <f>CT86*AB88/AE88</f>
        <v>0</v>
      </c>
    </row>
    <row r="87" spans="12:100" ht="14.25" x14ac:dyDescent="0.2">
      <c r="L87" s="40"/>
      <c r="M87" s="49"/>
      <c r="N87" s="42"/>
      <c r="O87" s="42"/>
      <c r="P87" s="35"/>
      <c r="Q87" s="35"/>
      <c r="R87" s="50">
        <f>O87*P87</f>
        <v>0</v>
      </c>
      <c r="S87" s="50">
        <f>O87*Q87</f>
        <v>0</v>
      </c>
      <c r="T87" s="51">
        <f>R87+S87</f>
        <v>0</v>
      </c>
      <c r="W87" s="8"/>
      <c r="X87" s="5"/>
      <c r="Y87" s="5"/>
      <c r="Z87" s="9"/>
      <c r="AA87" s="9"/>
      <c r="AB87" s="169" t="s">
        <v>141</v>
      </c>
      <c r="AC87" s="169"/>
      <c r="AD87" s="5"/>
      <c r="AE87" s="169" t="s">
        <v>142</v>
      </c>
      <c r="AF87" s="169"/>
      <c r="AG87" s="169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U87" s="56"/>
      <c r="BV87" s="159"/>
      <c r="BW87" s="160"/>
      <c r="BX87" s="35"/>
      <c r="BY87" s="35"/>
      <c r="BZ87" s="35"/>
      <c r="CA87" s="60">
        <f t="shared" si="50"/>
        <v>0</v>
      </c>
      <c r="CB87" s="60">
        <f t="shared" si="51"/>
        <v>0</v>
      </c>
      <c r="CC87" s="78"/>
      <c r="CD87" s="60">
        <f t="shared" si="52"/>
        <v>0</v>
      </c>
      <c r="CE87" s="60">
        <f t="shared" si="53"/>
        <v>0</v>
      </c>
      <c r="CF87" s="134">
        <f>CD87*AB88/AE88</f>
        <v>0</v>
      </c>
      <c r="CG87" s="134">
        <f>CE87*AB88/AE88</f>
        <v>0</v>
      </c>
      <c r="CJ87" s="56"/>
      <c r="CK87" s="159"/>
      <c r="CL87" s="160"/>
      <c r="CM87" s="35"/>
      <c r="CN87" s="35"/>
      <c r="CO87" s="35"/>
      <c r="CP87" s="60">
        <f t="shared" si="54"/>
        <v>0</v>
      </c>
      <c r="CQ87" s="60">
        <f t="shared" si="55"/>
        <v>0</v>
      </c>
      <c r="CR87" s="78"/>
      <c r="CS87" s="60">
        <f t="shared" si="56"/>
        <v>0</v>
      </c>
      <c r="CT87" s="60">
        <f t="shared" si="57"/>
        <v>0</v>
      </c>
      <c r="CU87" s="134">
        <f>CS87*AB88/AE88</f>
        <v>0</v>
      </c>
      <c r="CV87" s="61">
        <f>CT87*AB88/AE88</f>
        <v>0</v>
      </c>
    </row>
    <row r="88" spans="12:100" ht="26.25" customHeight="1" x14ac:dyDescent="0.2">
      <c r="L88" s="40"/>
      <c r="M88" s="49"/>
      <c r="N88" s="42"/>
      <c r="O88" s="42"/>
      <c r="P88" s="35"/>
      <c r="Q88" s="35"/>
      <c r="R88" s="50"/>
      <c r="S88" s="50"/>
      <c r="T88" s="51"/>
      <c r="W88" s="8"/>
      <c r="X88" s="5"/>
      <c r="Y88" s="5"/>
      <c r="Z88" s="9"/>
      <c r="AA88" s="9"/>
      <c r="AB88" s="170">
        <v>2</v>
      </c>
      <c r="AC88" s="170"/>
      <c r="AD88" s="5"/>
      <c r="AE88" s="170">
        <v>1382400</v>
      </c>
      <c r="AF88" s="170"/>
      <c r="AG88" s="170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U88" s="56"/>
      <c r="BV88" s="159"/>
      <c r="BW88" s="160"/>
      <c r="BX88" s="35"/>
      <c r="BY88" s="35"/>
      <c r="BZ88" s="35"/>
      <c r="CA88" s="60">
        <f t="shared" si="50"/>
        <v>0</v>
      </c>
      <c r="CB88" s="60">
        <f t="shared" si="51"/>
        <v>0</v>
      </c>
      <c r="CC88" s="78"/>
      <c r="CD88" s="60">
        <f t="shared" si="52"/>
        <v>0</v>
      </c>
      <c r="CE88" s="60">
        <f t="shared" si="53"/>
        <v>0</v>
      </c>
      <c r="CF88" s="134">
        <f>CD88*AB88/AE88</f>
        <v>0</v>
      </c>
      <c r="CG88" s="134">
        <f>CE88*AB88/AE88</f>
        <v>0</v>
      </c>
      <c r="CJ88" s="56"/>
      <c r="CK88" s="159"/>
      <c r="CL88" s="160"/>
      <c r="CM88" s="35"/>
      <c r="CN88" s="35"/>
      <c r="CO88" s="35"/>
      <c r="CP88" s="60">
        <f t="shared" si="54"/>
        <v>0</v>
      </c>
      <c r="CQ88" s="60">
        <f t="shared" si="55"/>
        <v>0</v>
      </c>
      <c r="CR88" s="78"/>
      <c r="CS88" s="60">
        <f t="shared" si="56"/>
        <v>0</v>
      </c>
      <c r="CT88" s="60">
        <f t="shared" si="57"/>
        <v>0</v>
      </c>
      <c r="CU88" s="134">
        <f>CS88*AB88/AE88</f>
        <v>0</v>
      </c>
      <c r="CV88" s="61">
        <f>CT88*AB88/AE88</f>
        <v>0</v>
      </c>
    </row>
    <row r="89" spans="12:100" ht="14.25" x14ac:dyDescent="0.2">
      <c r="L89" s="40"/>
      <c r="M89" s="49"/>
      <c r="N89" s="42"/>
      <c r="O89" s="42"/>
      <c r="P89" s="35"/>
      <c r="Q89" s="35"/>
      <c r="R89" s="50">
        <f t="shared" ref="R89:R98" si="58">O89*P89</f>
        <v>0</v>
      </c>
      <c r="S89" s="50">
        <f t="shared" ref="S89:S98" si="59">O89*Q89</f>
        <v>0</v>
      </c>
      <c r="T89" s="51">
        <f t="shared" ref="T89:T98" si="60">R89+S89</f>
        <v>0</v>
      </c>
      <c r="W89" s="8"/>
      <c r="X89" s="5"/>
      <c r="Y89" s="5"/>
      <c r="Z89" s="9"/>
      <c r="AA89" s="9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U89" s="56"/>
      <c r="BV89" s="133"/>
      <c r="BW89" s="35"/>
      <c r="BX89" s="35"/>
      <c r="BY89" s="35"/>
      <c r="BZ89" s="35"/>
      <c r="CA89" s="60">
        <f t="shared" si="50"/>
        <v>0</v>
      </c>
      <c r="CB89" s="60">
        <f t="shared" si="51"/>
        <v>0</v>
      </c>
      <c r="CC89" s="78"/>
      <c r="CD89" s="60">
        <f t="shared" si="52"/>
        <v>0</v>
      </c>
      <c r="CE89" s="60">
        <f t="shared" si="53"/>
        <v>0</v>
      </c>
      <c r="CF89" s="134">
        <f>CD89*AB88/AE88</f>
        <v>0</v>
      </c>
      <c r="CG89" s="134">
        <f>CE89*AB88/AE88</f>
        <v>0</v>
      </c>
      <c r="CJ89" s="56"/>
      <c r="CK89" s="159"/>
      <c r="CL89" s="160"/>
      <c r="CM89" s="35"/>
      <c r="CN89" s="35"/>
      <c r="CO89" s="35"/>
      <c r="CP89" s="60">
        <f t="shared" si="54"/>
        <v>0</v>
      </c>
      <c r="CQ89" s="60">
        <f t="shared" si="55"/>
        <v>0</v>
      </c>
      <c r="CR89" s="78"/>
      <c r="CS89" s="60">
        <f t="shared" si="56"/>
        <v>0</v>
      </c>
      <c r="CT89" s="60">
        <f t="shared" si="57"/>
        <v>0</v>
      </c>
      <c r="CU89" s="134">
        <f>CS89*AB88/AE88</f>
        <v>0</v>
      </c>
      <c r="CV89" s="61">
        <f>CT89*AB88/AE88</f>
        <v>0</v>
      </c>
    </row>
    <row r="90" spans="12:100" ht="14.25" x14ac:dyDescent="0.2">
      <c r="L90" s="40"/>
      <c r="M90" s="49"/>
      <c r="N90" s="42"/>
      <c r="O90" s="42"/>
      <c r="P90" s="35"/>
      <c r="Q90" s="35"/>
      <c r="R90" s="50">
        <f t="shared" si="58"/>
        <v>0</v>
      </c>
      <c r="S90" s="50">
        <f t="shared" si="59"/>
        <v>0</v>
      </c>
      <c r="T90" s="51">
        <f t="shared" si="60"/>
        <v>0</v>
      </c>
      <c r="W90" s="8"/>
      <c r="X90" s="5"/>
      <c r="Y90" s="5"/>
      <c r="Z90" s="9"/>
      <c r="AA90" s="9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U90" s="56"/>
      <c r="BV90" s="133"/>
      <c r="BW90" s="35"/>
      <c r="BX90" s="35"/>
      <c r="BY90" s="35"/>
      <c r="BZ90" s="35"/>
      <c r="CA90" s="60">
        <f t="shared" si="50"/>
        <v>0</v>
      </c>
      <c r="CB90" s="60">
        <f t="shared" si="51"/>
        <v>0</v>
      </c>
      <c r="CC90" s="78"/>
      <c r="CD90" s="60">
        <f t="shared" si="52"/>
        <v>0</v>
      </c>
      <c r="CE90" s="60">
        <f t="shared" si="53"/>
        <v>0</v>
      </c>
      <c r="CF90" s="134">
        <f>CD90*AB88/AE88</f>
        <v>0</v>
      </c>
      <c r="CG90" s="134">
        <f>CE90*AB88/AE88</f>
        <v>0</v>
      </c>
      <c r="CJ90" s="56"/>
      <c r="CK90" s="133"/>
      <c r="CL90" s="35"/>
      <c r="CM90" s="35"/>
      <c r="CN90" s="35"/>
      <c r="CO90" s="35"/>
      <c r="CP90" s="60">
        <f t="shared" si="54"/>
        <v>0</v>
      </c>
      <c r="CQ90" s="60">
        <f t="shared" si="55"/>
        <v>0</v>
      </c>
      <c r="CR90" s="78"/>
      <c r="CS90" s="60">
        <f t="shared" si="56"/>
        <v>0</v>
      </c>
      <c r="CT90" s="60">
        <f t="shared" si="57"/>
        <v>0</v>
      </c>
      <c r="CU90" s="134">
        <f>CS90*AB88/AE88</f>
        <v>0</v>
      </c>
      <c r="CV90" s="61">
        <f>CT90*AB88/AE88</f>
        <v>0</v>
      </c>
    </row>
    <row r="91" spans="12:100" ht="14.25" x14ac:dyDescent="0.2">
      <c r="L91" s="40"/>
      <c r="M91" s="49"/>
      <c r="N91" s="42"/>
      <c r="O91" s="42"/>
      <c r="P91" s="35"/>
      <c r="Q91" s="35"/>
      <c r="R91" s="50">
        <f t="shared" si="58"/>
        <v>0</v>
      </c>
      <c r="S91" s="50">
        <f t="shared" si="59"/>
        <v>0</v>
      </c>
      <c r="T91" s="51">
        <f t="shared" si="60"/>
        <v>0</v>
      </c>
      <c r="BU91" s="56"/>
      <c r="BV91" s="57"/>
      <c r="BW91" s="35"/>
      <c r="BX91" s="35"/>
      <c r="BY91" s="35"/>
      <c r="BZ91" s="35"/>
      <c r="CA91" s="60">
        <f t="shared" si="50"/>
        <v>0</v>
      </c>
      <c r="CB91" s="60">
        <f t="shared" si="51"/>
        <v>0</v>
      </c>
      <c r="CC91" s="78"/>
      <c r="CD91" s="60">
        <f t="shared" si="52"/>
        <v>0</v>
      </c>
      <c r="CE91" s="60">
        <f t="shared" si="53"/>
        <v>0</v>
      </c>
      <c r="CF91" s="134">
        <f>CD91*AB88/AE88</f>
        <v>0</v>
      </c>
      <c r="CG91" s="134">
        <f>CE91*AB88/AE88</f>
        <v>0</v>
      </c>
      <c r="CJ91" s="56"/>
      <c r="CK91" s="133"/>
      <c r="CL91" s="35"/>
      <c r="CM91" s="35"/>
      <c r="CN91" s="35"/>
      <c r="CO91" s="35"/>
      <c r="CP91" s="60">
        <f t="shared" si="54"/>
        <v>0</v>
      </c>
      <c r="CQ91" s="60">
        <f t="shared" si="55"/>
        <v>0</v>
      </c>
      <c r="CR91" s="78"/>
      <c r="CS91" s="60">
        <f t="shared" si="56"/>
        <v>0</v>
      </c>
      <c r="CT91" s="60">
        <f t="shared" si="57"/>
        <v>0</v>
      </c>
      <c r="CU91" s="134">
        <f>CS91*AB88/AE88</f>
        <v>0</v>
      </c>
      <c r="CV91" s="61">
        <f>CT91*AB88/AE88</f>
        <v>0</v>
      </c>
    </row>
    <row r="92" spans="12:100" ht="15" x14ac:dyDescent="0.25">
      <c r="L92" s="40"/>
      <c r="M92" s="49"/>
      <c r="N92" s="42"/>
      <c r="O92" s="104"/>
      <c r="P92" s="35"/>
      <c r="Q92" s="35"/>
      <c r="R92" s="50">
        <f t="shared" si="58"/>
        <v>0</v>
      </c>
      <c r="S92" s="50">
        <f t="shared" si="59"/>
        <v>0</v>
      </c>
      <c r="T92" s="51">
        <f t="shared" si="60"/>
        <v>0</v>
      </c>
      <c r="BU92" s="171" t="s">
        <v>21</v>
      </c>
      <c r="BV92" s="171"/>
      <c r="BW92" s="171"/>
      <c r="BX92" s="171"/>
      <c r="BY92" s="171"/>
      <c r="BZ92" s="171"/>
      <c r="CA92" s="90"/>
      <c r="CB92" s="90"/>
      <c r="CC92" s="162"/>
      <c r="CD92" s="90">
        <f>SUM(CD71:CD91)</f>
        <v>0</v>
      </c>
      <c r="CE92" s="90">
        <f>SUM(CE71:CE91)</f>
        <v>0</v>
      </c>
      <c r="CF92" s="120">
        <f>SUM(CF71:CF91)</f>
        <v>0</v>
      </c>
      <c r="CG92" s="120">
        <f>SUM(CG71:CG91)</f>
        <v>0</v>
      </c>
      <c r="CJ92" s="56"/>
      <c r="CK92" s="57"/>
      <c r="CL92" s="35"/>
      <c r="CM92" s="35"/>
      <c r="CN92" s="35"/>
      <c r="CO92" s="35"/>
      <c r="CP92" s="60">
        <f t="shared" si="54"/>
        <v>0</v>
      </c>
      <c r="CQ92" s="60">
        <f t="shared" si="55"/>
        <v>0</v>
      </c>
      <c r="CR92" s="78"/>
      <c r="CS92" s="60">
        <f t="shared" si="56"/>
        <v>0</v>
      </c>
      <c r="CT92" s="60">
        <f t="shared" si="57"/>
        <v>0</v>
      </c>
      <c r="CU92" s="134">
        <f>CS92*AB88/AE88</f>
        <v>0</v>
      </c>
      <c r="CV92" s="61">
        <f>CT92*AB88/AE88</f>
        <v>0</v>
      </c>
    </row>
    <row r="93" spans="12:100" ht="15" x14ac:dyDescent="0.25">
      <c r="L93" s="40"/>
      <c r="M93" s="49"/>
      <c r="N93" s="42"/>
      <c r="O93" s="104"/>
      <c r="P93" s="35"/>
      <c r="Q93" s="35"/>
      <c r="R93" s="50">
        <f t="shared" si="58"/>
        <v>0</v>
      </c>
      <c r="S93" s="50">
        <f t="shared" si="59"/>
        <v>0</v>
      </c>
      <c r="T93" s="51">
        <f t="shared" si="60"/>
        <v>0</v>
      </c>
      <c r="CJ93" s="171" t="s">
        <v>21</v>
      </c>
      <c r="CK93" s="171"/>
      <c r="CL93" s="171"/>
      <c r="CM93" s="171"/>
      <c r="CN93" s="171"/>
      <c r="CO93" s="171"/>
      <c r="CP93" s="90"/>
      <c r="CQ93" s="90"/>
      <c r="CR93" s="162"/>
      <c r="CS93" s="90">
        <f>SUM(CS72:CS92)</f>
        <v>0</v>
      </c>
      <c r="CT93" s="90">
        <f>SUM(CT72:CT92)</f>
        <v>0</v>
      </c>
      <c r="CU93" s="120">
        <f>SUM(CU72:CU92)</f>
        <v>0</v>
      </c>
      <c r="CV93" s="120">
        <f>SUM(CV72:CV92)</f>
        <v>0</v>
      </c>
    </row>
    <row r="94" spans="12:100" ht="14.25" x14ac:dyDescent="0.2">
      <c r="L94" s="40"/>
      <c r="M94" s="49"/>
      <c r="N94" s="42"/>
      <c r="O94" s="104"/>
      <c r="P94" s="35"/>
      <c r="Q94" s="35"/>
      <c r="R94" s="50">
        <f t="shared" si="58"/>
        <v>0</v>
      </c>
      <c r="S94" s="50">
        <f t="shared" si="59"/>
        <v>0</v>
      </c>
      <c r="T94" s="51">
        <f t="shared" si="60"/>
        <v>0</v>
      </c>
    </row>
    <row r="95" spans="12:100" ht="14.25" x14ac:dyDescent="0.2">
      <c r="L95" s="40"/>
      <c r="M95" s="49"/>
      <c r="N95" s="42"/>
      <c r="O95" s="42"/>
      <c r="P95" s="35"/>
      <c r="Q95" s="35"/>
      <c r="R95" s="50">
        <f t="shared" si="58"/>
        <v>0</v>
      </c>
      <c r="S95" s="50">
        <f t="shared" si="59"/>
        <v>0</v>
      </c>
      <c r="T95" s="51">
        <f t="shared" si="60"/>
        <v>0</v>
      </c>
    </row>
    <row r="96" spans="12:100" ht="14.25" x14ac:dyDescent="0.2">
      <c r="L96" s="40"/>
      <c r="M96" s="42"/>
      <c r="N96" s="42"/>
      <c r="O96" s="42"/>
      <c r="P96" s="35"/>
      <c r="Q96" s="35"/>
      <c r="R96" s="50">
        <f t="shared" si="58"/>
        <v>0</v>
      </c>
      <c r="S96" s="50">
        <f t="shared" si="59"/>
        <v>0</v>
      </c>
      <c r="T96" s="51">
        <f t="shared" si="60"/>
        <v>0</v>
      </c>
    </row>
    <row r="97" spans="12:20" ht="14.25" x14ac:dyDescent="0.2">
      <c r="L97" s="40"/>
      <c r="M97" s="42"/>
      <c r="N97" s="42"/>
      <c r="O97" s="42"/>
      <c r="P97" s="35"/>
      <c r="Q97" s="35"/>
      <c r="R97" s="50">
        <f t="shared" si="58"/>
        <v>0</v>
      </c>
      <c r="S97" s="50">
        <f t="shared" si="59"/>
        <v>0</v>
      </c>
      <c r="T97" s="51">
        <f t="shared" si="60"/>
        <v>0</v>
      </c>
    </row>
    <row r="98" spans="12:20" ht="14.25" x14ac:dyDescent="0.2">
      <c r="L98" s="40"/>
      <c r="M98" s="42"/>
      <c r="N98" s="42"/>
      <c r="O98" s="42"/>
      <c r="P98" s="35"/>
      <c r="Q98" s="35"/>
      <c r="R98" s="50">
        <f t="shared" si="58"/>
        <v>0</v>
      </c>
      <c r="S98" s="50">
        <f t="shared" si="59"/>
        <v>0</v>
      </c>
      <c r="T98" s="51">
        <f t="shared" si="60"/>
        <v>0</v>
      </c>
    </row>
    <row r="99" spans="12:20" ht="15" x14ac:dyDescent="0.25">
      <c r="L99" s="122"/>
      <c r="M99" s="168" t="s">
        <v>21</v>
      </c>
      <c r="N99" s="124"/>
      <c r="O99" s="124"/>
      <c r="P99" s="125"/>
      <c r="Q99" s="125"/>
      <c r="R99" s="125">
        <f>SUM(R85:R98)</f>
        <v>0</v>
      </c>
      <c r="S99" s="125">
        <f>SUM(S85:S98)</f>
        <v>0</v>
      </c>
      <c r="T99" s="126">
        <f>SUM(T85:T98)</f>
        <v>0</v>
      </c>
    </row>
  </sheetData>
  <mergeCells count="132">
    <mergeCell ref="B2:F2"/>
    <mergeCell ref="L2:T2"/>
    <mergeCell ref="W2:AD2"/>
    <mergeCell ref="BA2:BG2"/>
    <mergeCell ref="BV50:BV51"/>
    <mergeCell ref="CK5:CK6"/>
    <mergeCell ref="CD69:CE69"/>
    <mergeCell ref="BY69:BZ69"/>
    <mergeCell ref="BW69:BX69"/>
    <mergeCell ref="CA69:CB69"/>
    <mergeCell ref="CF69:CG69"/>
    <mergeCell ref="AL2:AS2"/>
    <mergeCell ref="B3:F3"/>
    <mergeCell ref="R36:S36"/>
    <mergeCell ref="B10:C10"/>
    <mergeCell ref="CJ3:CR3"/>
    <mergeCell ref="BU48:CC48"/>
    <mergeCell ref="AL41:AX41"/>
    <mergeCell ref="R47:S47"/>
    <mergeCell ref="Y43:Z43"/>
    <mergeCell ref="AN43:AO43"/>
    <mergeCell ref="AH43:AI43"/>
    <mergeCell ref="M83:M84"/>
    <mergeCell ref="CW6:CX6"/>
    <mergeCell ref="BL4:BL5"/>
    <mergeCell ref="CJ18:CQ18"/>
    <mergeCell ref="BU19:CB19"/>
    <mergeCell ref="BU67:CG67"/>
    <mergeCell ref="C6:F6"/>
    <mergeCell ref="AL37:AO37"/>
    <mergeCell ref="B8:F8"/>
    <mergeCell ref="D9:F9"/>
    <mergeCell ref="E10:F10"/>
    <mergeCell ref="P36:Q36"/>
    <mergeCell ref="BA36:BC36"/>
    <mergeCell ref="C7:F7"/>
    <mergeCell ref="L36:L37"/>
    <mergeCell ref="BV6:BV7"/>
    <mergeCell ref="AC43:AD43"/>
    <mergeCell ref="L45:T45"/>
    <mergeCell ref="CJ49:CJ50"/>
    <mergeCell ref="CJ5:CJ6"/>
    <mergeCell ref="W41:AI41"/>
    <mergeCell ref="T36:T37"/>
    <mergeCell ref="CJ41:CM41"/>
    <mergeCell ref="M47:M48"/>
    <mergeCell ref="AE87:AG87"/>
    <mergeCell ref="P83:Q83"/>
    <mergeCell ref="N83:N84"/>
    <mergeCell ref="AB87:AC87"/>
    <mergeCell ref="BU92:BZ92"/>
    <mergeCell ref="AP43:AQ43"/>
    <mergeCell ref="W80:AB80"/>
    <mergeCell ref="R83:S83"/>
    <mergeCell ref="AU43:AV43"/>
    <mergeCell ref="T83:T84"/>
    <mergeCell ref="AL80:AQ80"/>
    <mergeCell ref="BA82:BC82"/>
    <mergeCell ref="AR43:AS43"/>
    <mergeCell ref="BX50:BX51"/>
    <mergeCell ref="CJ93:CO93"/>
    <mergeCell ref="L47:L48"/>
    <mergeCell ref="BX6:BX7"/>
    <mergeCell ref="AA43:AB43"/>
    <mergeCell ref="W37:Z37"/>
    <mergeCell ref="CL5:CL6"/>
    <mergeCell ref="N36:N37"/>
    <mergeCell ref="T4:T5"/>
    <mergeCell ref="AW43:AX43"/>
    <mergeCell ref="CA50:CB50"/>
    <mergeCell ref="M36:M37"/>
    <mergeCell ref="BW6:BW7"/>
    <mergeCell ref="BU42:BX42"/>
    <mergeCell ref="P47:Q47"/>
    <mergeCell ref="N47:N48"/>
    <mergeCell ref="T47:T48"/>
    <mergeCell ref="O47:O48"/>
    <mergeCell ref="BU50:BU51"/>
    <mergeCell ref="BW50:BW51"/>
    <mergeCell ref="BU4:CC4"/>
    <mergeCell ref="AB88:AC88"/>
    <mergeCell ref="L81:T81"/>
    <mergeCell ref="L83:L84"/>
    <mergeCell ref="AE88:AG88"/>
    <mergeCell ref="B1:F1"/>
    <mergeCell ref="CP49:CQ49"/>
    <mergeCell ref="CJ68:CV68"/>
    <mergeCell ref="CU70:CV70"/>
    <mergeCell ref="CS70:CT70"/>
    <mergeCell ref="BY50:BZ50"/>
    <mergeCell ref="CJ47:CR47"/>
    <mergeCell ref="CN70:CO70"/>
    <mergeCell ref="CP70:CQ70"/>
    <mergeCell ref="CL70:CM70"/>
    <mergeCell ref="CL49:CL50"/>
    <mergeCell ref="CM49:CM50"/>
    <mergeCell ref="CK49:CK50"/>
    <mergeCell ref="CN49:CO49"/>
    <mergeCell ref="CR49:CR50"/>
    <mergeCell ref="CT6:CU6"/>
    <mergeCell ref="P4:Q4"/>
    <mergeCell ref="BU6:BU7"/>
    <mergeCell ref="CM5:CM6"/>
    <mergeCell ref="R4:S4"/>
    <mergeCell ref="BY6:BZ6"/>
    <mergeCell ref="CP5:CR5"/>
    <mergeCell ref="BN4:BO4"/>
    <mergeCell ref="B9:C9"/>
    <mergeCell ref="CZ6:DA6"/>
    <mergeCell ref="BJ2:BR2"/>
    <mergeCell ref="CJ2:CR2"/>
    <mergeCell ref="BA41:BG41"/>
    <mergeCell ref="B58:D59"/>
    <mergeCell ref="CA6:CC6"/>
    <mergeCell ref="BR4:BR5"/>
    <mergeCell ref="B60:D61"/>
    <mergeCell ref="BP4:BQ4"/>
    <mergeCell ref="CC50:CC51"/>
    <mergeCell ref="E60:E61"/>
    <mergeCell ref="F58:F59"/>
    <mergeCell ref="BJ4:BJ5"/>
    <mergeCell ref="AF43:AG43"/>
    <mergeCell ref="E58:E59"/>
    <mergeCell ref="F60:F61"/>
    <mergeCell ref="BU3:CC3"/>
    <mergeCell ref="N4:N5"/>
    <mergeCell ref="BK4:BK5"/>
    <mergeCell ref="M4:M5"/>
    <mergeCell ref="C4:D4"/>
    <mergeCell ref="AH5:AI5"/>
    <mergeCell ref="L4:L5"/>
    <mergeCell ref="CN5:CO5"/>
  </mergeCells>
  <hyperlinks>
    <hyperlink ref="B14" location="'Ficha de costo 1'!L2" display="  Materia Prima y Materiales Fundamentales" xr:uid="{00000000-0004-0000-0000-000000000000}"/>
    <hyperlink ref="B15" location="'Ficha de costo 1'!L79" display="  Combustibles y lubricantes" xr:uid="{00000000-0004-0000-0000-000001000000}"/>
    <hyperlink ref="B16" location="'Ficha de costo 1'!L45" display="  Energía Eléctrica" xr:uid="{00000000-0004-0000-0000-000002000000}"/>
    <hyperlink ref="B17" location="'Ficha de costo 1'!M34" display="  Agua" xr:uid="{00000000-0004-0000-0000-000003000000}"/>
    <hyperlink ref="B20" location="'Ficha de costo 1'!W2" display="  Depreciación" xr:uid="{00000000-0004-0000-0000-000004000000}"/>
    <hyperlink ref="B21" location="'Ficha de costo 1'!CU4" display="  Ropa y calzado ( trabajadores directos)" xr:uid="{00000000-0004-0000-0000-000005000000}"/>
    <hyperlink ref="B23" location="'Ficha de costo 1'!BA2" display="  Salarios" xr:uid="{00000000-0004-0000-0000-000006000000}"/>
    <hyperlink ref="B29" location="'Ficha de costo 1'!BJ2" display="  Materiales auxiliares " xr:uid="{00000000-0004-0000-0000-000007000000}"/>
    <hyperlink ref="B31" location="'Ficha de costo 1'!AL2" display="  Depreciación " xr:uid="{00000000-0004-0000-0000-000008000000}"/>
    <hyperlink ref="B33" location="'Ficha de costo 1'!BA48" display="  Salarios" xr:uid="{00000000-0004-0000-0000-000009000000}"/>
    <hyperlink ref="B39" location="'Ficha de costo 1'!CJ3" display="  Combustible y lubricantes" xr:uid="{00000000-0004-0000-0000-00000A000000}"/>
    <hyperlink ref="B40" location="'Ficha de costo 1'!CJ47" display="  Energía eléctrica" xr:uid="{00000000-0004-0000-0000-00000B000000}"/>
    <hyperlink ref="B41" location="'Ficha de costo 1'!CJ18" display="  Depreciación" xr:uid="{00000000-0004-0000-0000-00000C000000}"/>
    <hyperlink ref="B42" location="'Ficha de costo 1'!CX4" display="  Ropa y Calzado (trabajadores  indirectos)" xr:uid="{00000000-0004-0000-0000-00000D000000}"/>
    <hyperlink ref="B46" location="'Ficha de costo 1'!BU4" display="  Combustible y lubricantes" xr:uid="{00000000-0004-0000-0000-00000E000000}"/>
    <hyperlink ref="B47" location="'Ficha de costo 1'!BU48" display="  Energía eléctrica" xr:uid="{00000000-0004-0000-0000-00000F000000}"/>
    <hyperlink ref="B48" location="'Ficha de costo 1'!BU19" display="  Depreciación" xr:uid="{00000000-0004-0000-0000-000010000000}"/>
    <hyperlink ref="B49" location="'Ficha de costo 1'!DA4" display="  Ropa y Calzado (trabajadores. indirectos)" xr:uid="{00000000-0004-0000-0000-000011000000}"/>
  </hyperlinks>
  <pageMargins left="0.25" right="0.25" top="0.75" bottom="0.75" header="0.3" footer="0.3"/>
  <pageSetup paperSize="9" scale="52" fitToHeight="0" orientation="portrait" r:id="rId1"/>
  <headerFooter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Ficha de costo pan suave 40g</vt:lpstr>
      <vt:lpstr>Ficha de costo 21cm gouda</vt:lpstr>
      <vt:lpstr>Ficha de costo 21cm</vt:lpstr>
      <vt:lpstr>'Ficha de costo 21cm'!OLE_LINK1</vt:lpstr>
      <vt:lpstr>'Ficha de costo 21cm gouda'!OLE_LINK1</vt:lpstr>
      <vt:lpstr>'Ficha de costo pan suave 40g'!OLE_LINK1</vt:lpstr>
      <vt:lpstr>'Ficha de costo 21cm'!Print_Area</vt:lpstr>
      <vt:lpstr>'Ficha de costo 21cm gouda'!Print_Area</vt:lpstr>
      <vt:lpstr>'Ficha de costo pan suave 40g'!Print_Area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SIMBIOSIS S.U.R.L.</dc:creator>
  <cp:lastModifiedBy>admin@palweb.net</cp:lastModifiedBy>
  <cp:lastPrinted>2024-12-09T18:05:31Z</cp:lastPrinted>
  <dcterms:created xsi:type="dcterms:W3CDTF">2024-09-13T14:59:59Z</dcterms:created>
  <dcterms:modified xsi:type="dcterms:W3CDTF">2025-01-09T17:54:45Z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4e2d8f18a4444b809acbe733f4109014</vt:lpwstr>
  </property>
</Properties>
</file>